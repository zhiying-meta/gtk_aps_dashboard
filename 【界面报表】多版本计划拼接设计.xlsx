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zhiyingchen/openhands_workspace/Projects/gtk-result-table/"/>
    </mc:Choice>
  </mc:AlternateContent>
  <xr:revisionPtr revIDLastSave="0" documentId="13_ncr:1_{30D87CEE-EC38-F449-8F68-3BC5228D9E11}" xr6:coauthVersionLast="47" xr6:coauthVersionMax="47" xr10:uidLastSave="{00000000-0000-0000-0000-000000000000}"/>
  <bookViews>
    <workbookView xWindow="0" yWindow="660" windowWidth="34560" windowHeight="20420" activeTab="1" xr2:uid="{00000000-000D-0000-FFFF-FFFF00000000}"/>
  </bookViews>
  <sheets>
    <sheet name="字段说明" sheetId="1" r:id="rId1"/>
    <sheet name="Sample-PKG" sheetId="2" r:id="rId2"/>
    <sheet name="Sample-GB" sheetId="3" r:id="rId3"/>
    <sheet name="取数逻辑明细" sheetId="4" r:id="rId4"/>
    <sheet name="数据源文件清单" sheetId="5" r:id="rId5"/>
    <sheet name="排产结果解析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4" l="1"/>
  <c r="H10" i="4"/>
  <c r="H9" i="4"/>
  <c r="H8" i="4"/>
  <c r="H7" i="4"/>
  <c r="H6" i="4"/>
  <c r="H5" i="4"/>
  <c r="H4" i="4"/>
</calcChain>
</file>

<file path=xl/sharedStrings.xml><?xml version="1.0" encoding="utf-8"?>
<sst xmlns="http://schemas.openxmlformats.org/spreadsheetml/2006/main" count="317" uniqueCount="178">
  <si>
    <t>字段说明（含取数逻辑）</t>
  </si>
  <si>
    <t>字段</t>
  </si>
  <si>
    <t>类型</t>
  </si>
  <si>
    <t>说明</t>
  </si>
  <si>
    <t>示例</t>
  </si>
  <si>
    <t>PN</t>
  </si>
  <si>
    <t>String</t>
  </si>
  <si>
    <t>物料编码 / Part Number
SKU级：SK-XXXXXXXX-XX
GB级：GB-XXX-XXX</t>
  </si>
  <si>
    <t>SK-1001879-01</t>
  </si>
  <si>
    <t>Usage</t>
  </si>
  <si>
    <t>用途/季节标识
来源：排产结果表/BOM/CTB 的 Usage/Title 列
值如：MP / Spring / Fall / Dummy / Demo</t>
  </si>
  <si>
    <t>Spring</t>
  </si>
  <si>
    <t>Style</t>
  </si>
  <si>
    <t>眼镜款式描述
来源：排产结果/CTB/虚拟料号关系的 Style 列
值如：Rectangle M / Rectangle L / Bold / Slim Oval</t>
  </si>
  <si>
    <t>Rectangle M</t>
  </si>
  <si>
    <t>Color</t>
  </si>
  <si>
    <t>颜色/Frame Color
来源：排产结果/CTB/虚拟料号关系的 CMF/Frame Color 列
值如：BLACK / CLASSIC HAVANA / LINEN / MERLOT</t>
  </si>
  <si>
    <t>BLACK</t>
  </si>
  <si>
    <t>Version-Type</t>
  </si>
  <si>
    <t>版本类型枚举：
• ExF — Forecast 基线
  - SKU级：来自 gated.xlsx 的 FCST sheet（周级，周六Cut-Off）
  - GB级：通过BOM表识别GB下所有SKU，汇总SKU的ExF
• Ungated — 无限制排产版本（来自 ungated 排产结果表）
• Gated — 受限排产版本（来自 gated 排产结果表）
• CTB — 物料就绪数据（来自 Modelo SKU/GB CTB Publish）
输出顺序：ExF → Ungated → Gated → CTB</t>
  </si>
  <si>
    <t>Ungated</t>
  </si>
  <si>
    <t>Version-Detail</t>
  </si>
  <si>
    <t>指标细分枚举：
• ETD — 预计发货量（Saturday Cut-Off）
  公式：ROUNDDOWN(Cum_Output / Pallet_Qty, 0) * Pallet_Qty
  含义：累计产出向下取整到最近整托盘数
• ETD vs ExF — ETD 与 Forecast 的差值 = ETD - ExF
• Packout — 包装产出量（Wednesday Cut-Off）
  公式：取 OUTPUT Cum 的周三值（无托盘取整）
• Packout vs ExF — Packout 与 Forecast 的差值 = Packout - ExF
CTB 类型下此字段留空</t>
  </si>
  <si>
    <t>ETD</t>
  </si>
  <si>
    <t>Cut Day Of Week</t>
  </si>
  <si>
    <t>业务截止日：
• Saturday — ETD / ExF 卡周六
• Wednesday — Packout 卡周三
CTB 留空</t>
  </si>
  <si>
    <t>Saturday</t>
  </si>
  <si>
    <t>生产制程/环节维度，用于筛选：
• PKG — 包装（Output 取 线体=*PKG）
• GB — 成品组（取 GB-PN 聚合）
• FR — 镜框（Frame）
• LT — 左镜腿（Left Temple）
• RT — 右镜腿（Right Temple）
数据来源：排产结果表的 线体编码 列 + 虚拟料号关系</t>
  </si>
  <si>
    <t>PKG</t>
  </si>
  <si>
    <t>Wk1 ~ Wk52+</t>
  </si>
  <si>
    <t>Integer</t>
  </si>
  <si>
    <t>周度数值，含义取决于 Version-Detail：
• ETD → Pallet_Rounded = ROUNDDOWN(Cum_Output/Pallet_Qty, 0)*Pallet_Qty
• Packout → 该周三的 OUTPUT Cum 原值（无取整）
• ETD vs ExF / Packout vs ExF → 差值（可为负）
• ExF → 原始 Forecast 量
• CTB → CTB 周总量
按 Cut-Off 日对齐后填入对应列</t>
  </si>
  <si>
    <t>Jul Wk1</t>
  </si>
  <si>
    <t>Jul Wk2</t>
  </si>
  <si>
    <t>...</t>
  </si>
  <si>
    <t>SK-123</t>
  </si>
  <si>
    <t>MP</t>
  </si>
  <si>
    <t>Rec M</t>
  </si>
  <si>
    <t>Black</t>
  </si>
  <si>
    <t>ExF</t>
  </si>
  <si>
    <t>ETD vs ExF</t>
  </si>
  <si>
    <t>Packout</t>
  </si>
  <si>
    <t>Wednesday</t>
  </si>
  <si>
    <t>Packout vs ExF</t>
  </si>
  <si>
    <t>Gated</t>
  </si>
  <si>
    <t>CTB</t>
  </si>
  <si>
    <t>GB-Rec M-Black</t>
  </si>
  <si>
    <t>各 Version-Detail 取数逻辑与数据源映射</t>
  </si>
  <si>
    <t>数据源文件</t>
  </si>
  <si>
    <t>数据源区域</t>
  </si>
  <si>
    <t>取数逻辑</t>
  </si>
  <si>
    <t>Cut-Off</t>
  </si>
  <si>
    <t>输出备注</t>
  </si>
  <si>
    <t>公式/算法</t>
  </si>
  <si>
    <t>(基线)</t>
  </si>
  <si>
    <t>gated.xlsx
FCST sheet</t>
  </si>
  <si>
    <t>Row 4+ 逐SKU
Col E=SKU
Col I~BN=52周周六值</t>
  </si>
  <si>
    <t>【SKU级】直接按 SKU 读取每周值
【GB级】通过BOM映射后汇总</t>
  </si>
  <si>
    <t>仅一份 ExF</t>
  </si>
  <si>
    <t>ExF (SKU) = FCST value
ExF (GB) = ΣExF of all SKUs
  under same GB</t>
  </si>
  <si>
    <t>ungated.xlsx
排产结果 sheet</t>
  </si>
  <si>
    <t>Row 3+ 每日
D=数据类型
F=SKU
I~=日级数据(365天)</t>
  </si>
  <si>
    <t>1. 过滤: dtype=OUTPUT, 线体含PKG
2. 按SKU日级Sum→周聚合
3. ROUNDDOWN(Cum/Pallet,0)*Pallet</t>
  </si>
  <si>
    <t>Ungated ETD</t>
  </si>
  <si>
    <t>同上 + ExF</t>
  </si>
  <si>
    <t>—</t>
  </si>
  <si>
    <t>Ungated ETD - 同SKU同周ExF</t>
  </si>
  <si>
    <t>差值可为负</t>
  </si>
  <si>
    <t>同上</t>
  </si>
  <si>
    <t>1. 同ETD的过滤
2. 日级按周三Cut-Off周聚合
3. 直接取Cum值（无取整）</t>
  </si>
  <si>
    <t>Ungated Packout</t>
  </si>
  <si>
    <t>Ungated Packout - 同SKU同周ExF</t>
  </si>
  <si>
    <t>gated.xlsx
排产结果 sheet</t>
  </si>
  <si>
    <t>同Ungated ETD逻辑，仅数据源换gated</t>
  </si>
  <si>
    <t>Gated ETD</t>
  </si>
  <si>
    <t>Gated ETD - ExF</t>
  </si>
  <si>
    <t>同Ungated Packout逻辑，仅数据源换gated</t>
  </si>
  <si>
    <t>Gated Packout - ExF</t>
  </si>
  <si>
    <t>（总量）</t>
  </si>
  <si>
    <t>Modelo SKU CTB
Publish 0710 final.xlsx</t>
  </si>
  <si>
    <t>Modelo SKU CTB sheet
Row 4+
C=Style, D=Frame Color
G=SKU, J~=日级CTB</t>
  </si>
  <si>
    <t>1. 读属性 + 日级CTB值
2. 按周Sum聚合
3. 输出为一行</t>
  </si>
  <si>
    <t>（留空）</t>
  </si>
  <si>
    <t>CTB仅总量</t>
  </si>
  <si>
    <t>CTB_weekly = ΣCTB_daily
（周一~周日Sum）</t>
  </si>
  <si>
    <t>数据源文件清单与结构</t>
  </si>
  <si>
    <t>文件名</t>
  </si>
  <si>
    <t>用途</t>
  </si>
  <si>
    <t>关键表/字段</t>
  </si>
  <si>
    <t>备注</t>
  </si>
  <si>
    <t>Copy of Lager FATP By SKU Build Plan-20260713 gated.xlsx</t>
  </si>
  <si>
    <t>Gated版排产 + Forecast</t>
  </si>
  <si>
    <t>• FCST sheet: 周级Forecast, SKU行, 52周周六列
• 排产结果 sheet: 日级排产, 365天</t>
  </si>
  <si>
    <t>ExF仅在此文件中有</t>
  </si>
  <si>
    <t>Copy of Lager FATP By SKU Build Plan-20260713 ungated.xlsx</t>
  </si>
  <si>
    <t>Ungated版排产</t>
  </si>
  <si>
    <t>• 排产结果 sheet: 与gated同结构</t>
  </si>
  <si>
    <t>无FCST sheet</t>
  </si>
  <si>
    <t>Ivy BOM 导入模板20260714.xlsx</t>
  </si>
  <si>
    <t>物料清单</t>
  </si>
  <si>
    <t>• BOM sheet: 装配件→组件
  用于SKU→GB映射</t>
  </si>
  <si>
    <t>GB ExF汇总用</t>
  </si>
  <si>
    <t>虚拟料号关系 20260623.xlsx</t>
  </si>
  <si>
    <t>SKU↔GB/FR/LT/RT映射</t>
  </si>
  <si>
    <t>• Sheet1: SKU, Style, CMF, GB/FR/LT/RT PN新旧对照</t>
  </si>
  <si>
    <t>核心映射表</t>
  </si>
  <si>
    <t>Modelo SKU CTB Publish 0710 final.xlsx</t>
  </si>
  <si>
    <t>SKU级CTB</t>
  </si>
  <si>
    <t>• Modelo SKU CTB sheet: 日级CTB</t>
  </si>
  <si>
    <t>CTB数据源</t>
  </si>
  <si>
    <t>Modelo GB CTB Publish 0710 final.xlsx</t>
  </si>
  <si>
    <t>GB级CTB</t>
  </si>
  <si>
    <t>• Modelo GB CTB sheet: GB级日级CTB</t>
  </si>
  <si>
    <t>备选CTB数据源</t>
  </si>
  <si>
    <t>ETD example.xlsx</t>
  </si>
  <si>
    <t>ETD公式示例</t>
  </si>
  <si>
    <t>• PKG sheet: 日列(HLOOKUP取数)→Cum→ETD(托盘取整)
  864默认Pallet, SK-1002701-01用240
• GB sheet: 类似结构</t>
  </si>
  <si>
    <t>关键公式参考
含Toggle机制</t>
  </si>
  <si>
    <t>排产结果 sheet 结构说明</t>
  </si>
  <si>
    <t>列索引</t>
  </si>
  <si>
    <t>Excel列</t>
  </si>
  <si>
    <t>列名</t>
  </si>
  <si>
    <t>示例值</t>
  </si>
  <si>
    <t>取值规则</t>
  </si>
  <si>
    <t>ETD example对照</t>
  </si>
  <si>
    <t>A</t>
  </si>
  <si>
    <t>（拼接键）</t>
  </si>
  <si>
    <t>AL1-PKGOUTPUT白班SK-1001879-01</t>
  </si>
  <si>
    <t>行标识</t>
  </si>
  <si>
    <t>忽略</t>
  </si>
  <si>
    <t>PKG sheet A列公式</t>
  </si>
  <si>
    <t>B</t>
  </si>
  <si>
    <t>（拼接键2）</t>
  </si>
  <si>
    <t>OUTPUTSK-1001879-01</t>
  </si>
  <si>
    <t>数据类型+SKU</t>
  </si>
  <si>
    <t>C</t>
  </si>
  <si>
    <t>线体编码</t>
  </si>
  <si>
    <t>AL1-PKG</t>
  </si>
  <si>
    <t>产线标识(PKG/FAT/GB等)</t>
  </si>
  <si>
    <t>过滤: 含PKG=包装产出</t>
  </si>
  <si>
    <t>PKG sheet H列</t>
  </si>
  <si>
    <t>D</t>
  </si>
  <si>
    <t>数据类型</t>
  </si>
  <si>
    <t>OUTPUT</t>
  </si>
  <si>
    <t>OUTPUT/INPUT/CHECKIN等</t>
  </si>
  <si>
    <t>取数只取OUTPUT</t>
  </si>
  <si>
    <t>PKG sheet J列</t>
  </si>
  <si>
    <t>E</t>
  </si>
  <si>
    <t>班次</t>
  </si>
  <si>
    <t>白班/夜班</t>
  </si>
  <si>
    <t>各班次Sum合并</t>
  </si>
  <si>
    <t>PKG sheet I列</t>
  </si>
  <si>
    <t>F</t>
  </si>
  <si>
    <t>SKU</t>
  </si>
  <si>
    <t>物料编码(SK-/GB-/FR-等)</t>
  </si>
  <si>
    <t>关联输出表PN</t>
  </si>
  <si>
    <t>PKG sheet K列</t>
  </si>
  <si>
    <t>G</t>
  </si>
  <si>
    <t>是否排产</t>
  </si>
  <si>
    <t>Y/None</t>
  </si>
  <si>
    <t>排产标识</t>
  </si>
  <si>
    <t>过滤: =Y</t>
  </si>
  <si>
    <t>H</t>
  </si>
  <si>
    <t>现汇总量</t>
  </si>
  <si>
    <t>58410</t>
  </si>
  <si>
    <t>行总数量</t>
  </si>
  <si>
    <t>备用</t>
  </si>
  <si>
    <t>8~372</t>
  </si>
  <si>
    <t>I~(365d)</t>
  </si>
  <si>
    <t>日级日期</t>
  </si>
  <si>
    <t>46110~46474</t>
  </si>
  <si>
    <t>365天(2026-03-29~2027-03-28)</t>
  </si>
  <si>
    <t>核心数据: 按周聚合</t>
  </si>
  <si>
    <t>PKG sheet L~列</t>
  </si>
  <si>
    <t>Pallet_Qty</t>
    <phoneticPr fontId="4" type="noConversion"/>
  </si>
  <si>
    <t>Integer</t>
    <phoneticPr fontId="4" type="noConversion"/>
  </si>
  <si>
    <t>托盘数量，只有ETD行需要填</t>
    <phoneticPr fontId="4" type="noConversion"/>
  </si>
  <si>
    <t>Process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</si>
</sst>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4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E4DFEC"/>
        <bgColor rgb="FFE4DFE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CE4EC"/>
        <bgColor rgb="FFFCE4E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opLeftCell="A5" workbookViewId="0">
      <selection activeCell="A10" sqref="A10"/>
    </sheetView>
  </sheetViews>
  <sheetFormatPr baseColWidth="10" defaultColWidth="8.83203125" defaultRowHeight="14"/>
  <cols>
    <col min="1" max="1" width="27.83203125" customWidth="1"/>
    <col min="2" max="2" width="18" customWidth="1"/>
    <col min="3" max="3" width="60" customWidth="1"/>
    <col min="4" max="4" width="45" customWidth="1"/>
  </cols>
  <sheetData>
    <row r="1" spans="1:4" ht="22">
      <c r="A1" s="1" t="s">
        <v>0</v>
      </c>
    </row>
    <row r="2" spans="1:4" ht="19">
      <c r="A2" s="2" t="s">
        <v>1</v>
      </c>
      <c r="B2" s="2" t="s">
        <v>2</v>
      </c>
      <c r="C2" s="2" t="s">
        <v>3</v>
      </c>
      <c r="D2" s="2" t="s">
        <v>4</v>
      </c>
    </row>
    <row r="3" spans="1:4" ht="51">
      <c r="A3" s="3" t="s">
        <v>5</v>
      </c>
      <c r="B3" s="4" t="s">
        <v>6</v>
      </c>
      <c r="C3" s="4" t="s">
        <v>7</v>
      </c>
      <c r="D3" s="4" t="s">
        <v>8</v>
      </c>
    </row>
    <row r="4" spans="1:4" ht="51">
      <c r="A4" s="3" t="s">
        <v>9</v>
      </c>
      <c r="B4" s="4" t="s">
        <v>6</v>
      </c>
      <c r="C4" s="4" t="s">
        <v>10</v>
      </c>
      <c r="D4" s="4" t="s">
        <v>11</v>
      </c>
    </row>
    <row r="5" spans="1:4" ht="51">
      <c r="A5" s="3" t="s">
        <v>12</v>
      </c>
      <c r="B5" s="4" t="s">
        <v>6</v>
      </c>
      <c r="C5" s="4" t="s">
        <v>13</v>
      </c>
      <c r="D5" s="4" t="s">
        <v>14</v>
      </c>
    </row>
    <row r="6" spans="1:4" ht="51">
      <c r="A6" s="3" t="s">
        <v>15</v>
      </c>
      <c r="B6" s="4" t="s">
        <v>6</v>
      </c>
      <c r="C6" s="4" t="s">
        <v>16</v>
      </c>
      <c r="D6" s="4" t="s">
        <v>17</v>
      </c>
    </row>
    <row r="7" spans="1:4" ht="136">
      <c r="A7" s="3" t="s">
        <v>18</v>
      </c>
      <c r="B7" s="4" t="s">
        <v>6</v>
      </c>
      <c r="C7" s="4" t="s">
        <v>19</v>
      </c>
      <c r="D7" s="4" t="s">
        <v>20</v>
      </c>
    </row>
    <row r="8" spans="1:4" ht="153">
      <c r="A8" s="3" t="s">
        <v>21</v>
      </c>
      <c r="B8" s="4" t="s">
        <v>6</v>
      </c>
      <c r="C8" s="4" t="s">
        <v>22</v>
      </c>
      <c r="D8" s="4" t="s">
        <v>23</v>
      </c>
    </row>
    <row r="9" spans="1:4" ht="68">
      <c r="A9" s="3" t="s">
        <v>24</v>
      </c>
      <c r="B9" s="4" t="s">
        <v>6</v>
      </c>
      <c r="C9" s="4" t="s">
        <v>25</v>
      </c>
      <c r="D9" s="4" t="s">
        <v>26</v>
      </c>
    </row>
    <row r="10" spans="1:4" ht="17">
      <c r="A10" s="3" t="s">
        <v>174</v>
      </c>
      <c r="B10" s="4" t="s">
        <v>175</v>
      </c>
      <c r="C10" s="4" t="s">
        <v>176</v>
      </c>
      <c r="D10" s="11">
        <v>864</v>
      </c>
    </row>
    <row r="11" spans="1:4" ht="119">
      <c r="A11" s="3" t="s">
        <v>177</v>
      </c>
      <c r="B11" s="4" t="s">
        <v>6</v>
      </c>
      <c r="C11" s="4" t="s">
        <v>27</v>
      </c>
      <c r="D11" s="4" t="s">
        <v>28</v>
      </c>
    </row>
    <row r="12" spans="1:4" ht="136">
      <c r="A12" s="3" t="s">
        <v>29</v>
      </c>
      <c r="B12" s="4" t="s">
        <v>30</v>
      </c>
      <c r="C12" s="4" t="s">
        <v>31</v>
      </c>
      <c r="D12" s="11">
        <v>120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workbookViewId="0">
      <selection activeCell="H13" sqref="H13"/>
    </sheetView>
  </sheetViews>
  <sheetFormatPr baseColWidth="10" defaultColWidth="8.83203125" defaultRowHeight="14"/>
  <cols>
    <col min="1" max="1" width="18" customWidth="1"/>
    <col min="2" max="5" width="14" customWidth="1"/>
    <col min="6" max="6" width="18" customWidth="1"/>
    <col min="7" max="8" width="16" customWidth="1"/>
    <col min="9" max="11" width="14" customWidth="1"/>
  </cols>
  <sheetData>
    <row r="1" spans="1:11" ht="38">
      <c r="A1" s="2" t="s">
        <v>5</v>
      </c>
      <c r="B1" s="2" t="s">
        <v>9</v>
      </c>
      <c r="C1" s="2" t="s">
        <v>12</v>
      </c>
      <c r="D1" s="2" t="s">
        <v>15</v>
      </c>
      <c r="E1" s="2" t="s">
        <v>18</v>
      </c>
      <c r="F1" s="2" t="s">
        <v>21</v>
      </c>
      <c r="G1" s="2" t="s">
        <v>24</v>
      </c>
      <c r="H1" s="2" t="s">
        <v>174</v>
      </c>
      <c r="I1" s="2" t="s">
        <v>32</v>
      </c>
      <c r="J1" s="2" t="s">
        <v>33</v>
      </c>
      <c r="K1" s="2" t="s">
        <v>34</v>
      </c>
    </row>
    <row r="2" spans="1:11" ht="17">
      <c r="A2" s="5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/>
      <c r="G2" s="5" t="s">
        <v>26</v>
      </c>
      <c r="H2" s="3">
        <v>864</v>
      </c>
      <c r="I2" s="5">
        <v>120</v>
      </c>
      <c r="J2" s="5">
        <v>130</v>
      </c>
      <c r="K2" s="5" t="s">
        <v>34</v>
      </c>
    </row>
    <row r="3" spans="1:11" ht="17">
      <c r="A3" s="5"/>
      <c r="B3" s="5"/>
      <c r="C3" s="5"/>
      <c r="D3" s="5"/>
      <c r="E3" s="5" t="s">
        <v>20</v>
      </c>
      <c r="F3" s="5" t="s">
        <v>23</v>
      </c>
      <c r="G3" s="5" t="s">
        <v>26</v>
      </c>
      <c r="H3" s="3"/>
      <c r="I3" s="5">
        <v>100</v>
      </c>
      <c r="J3" s="5">
        <v>110</v>
      </c>
      <c r="K3" s="5" t="s">
        <v>34</v>
      </c>
    </row>
    <row r="4" spans="1:11" ht="17">
      <c r="A4" s="5"/>
      <c r="B4" s="5"/>
      <c r="C4" s="5"/>
      <c r="D4" s="5"/>
      <c r="E4" s="5" t="s">
        <v>20</v>
      </c>
      <c r="F4" s="5" t="s">
        <v>40</v>
      </c>
      <c r="G4" s="5" t="s">
        <v>26</v>
      </c>
      <c r="H4" s="3"/>
      <c r="I4" s="5">
        <v>-20</v>
      </c>
      <c r="J4" s="5">
        <v>-20</v>
      </c>
      <c r="K4" s="5" t="s">
        <v>34</v>
      </c>
    </row>
    <row r="5" spans="1:11" ht="17">
      <c r="A5" s="5"/>
      <c r="B5" s="5"/>
      <c r="C5" s="5"/>
      <c r="D5" s="5"/>
      <c r="E5" s="5" t="s">
        <v>20</v>
      </c>
      <c r="F5" s="5" t="s">
        <v>41</v>
      </c>
      <c r="G5" s="5" t="s">
        <v>42</v>
      </c>
      <c r="H5" s="3"/>
      <c r="I5" s="5">
        <v>95</v>
      </c>
      <c r="J5" s="5">
        <v>108</v>
      </c>
      <c r="K5" s="5" t="s">
        <v>34</v>
      </c>
    </row>
    <row r="6" spans="1:11" ht="17">
      <c r="A6" s="5"/>
      <c r="B6" s="5"/>
      <c r="C6" s="5"/>
      <c r="D6" s="5"/>
      <c r="E6" s="5" t="s">
        <v>20</v>
      </c>
      <c r="F6" s="5" t="s">
        <v>43</v>
      </c>
      <c r="G6" s="5" t="s">
        <v>42</v>
      </c>
      <c r="H6" s="3"/>
      <c r="I6" s="5">
        <v>-25</v>
      </c>
      <c r="J6" s="5">
        <v>-22</v>
      </c>
      <c r="K6" s="5" t="s">
        <v>34</v>
      </c>
    </row>
    <row r="7" spans="1:11" ht="17">
      <c r="A7" s="5"/>
      <c r="B7" s="5"/>
      <c r="C7" s="5"/>
      <c r="D7" s="5"/>
      <c r="E7" s="5" t="s">
        <v>44</v>
      </c>
      <c r="F7" s="5" t="s">
        <v>23</v>
      </c>
      <c r="G7" s="5" t="s">
        <v>26</v>
      </c>
      <c r="H7" s="3"/>
      <c r="I7" s="5">
        <v>80</v>
      </c>
      <c r="J7" s="5">
        <v>90</v>
      </c>
      <c r="K7" s="5" t="s">
        <v>34</v>
      </c>
    </row>
    <row r="8" spans="1:11" ht="17">
      <c r="A8" s="5"/>
      <c r="B8" s="5"/>
      <c r="C8" s="5"/>
      <c r="D8" s="5"/>
      <c r="E8" s="5" t="s">
        <v>44</v>
      </c>
      <c r="F8" s="5" t="s">
        <v>40</v>
      </c>
      <c r="G8" s="5" t="s">
        <v>26</v>
      </c>
      <c r="H8" s="3"/>
      <c r="I8" s="5">
        <v>-40</v>
      </c>
      <c r="J8" s="5">
        <v>-40</v>
      </c>
      <c r="K8" s="5" t="s">
        <v>34</v>
      </c>
    </row>
    <row r="9" spans="1:11" ht="17">
      <c r="A9" s="5"/>
      <c r="B9" s="5"/>
      <c r="C9" s="5"/>
      <c r="D9" s="5"/>
      <c r="E9" s="5" t="s">
        <v>44</v>
      </c>
      <c r="F9" s="5" t="s">
        <v>41</v>
      </c>
      <c r="G9" s="5" t="s">
        <v>42</v>
      </c>
      <c r="H9" s="3"/>
      <c r="I9" s="5">
        <v>78</v>
      </c>
      <c r="J9" s="5">
        <v>85</v>
      </c>
      <c r="K9" s="5" t="s">
        <v>34</v>
      </c>
    </row>
    <row r="10" spans="1:11" ht="17">
      <c r="A10" s="5"/>
      <c r="B10" s="5"/>
      <c r="C10" s="5"/>
      <c r="D10" s="5"/>
      <c r="E10" s="5" t="s">
        <v>44</v>
      </c>
      <c r="F10" s="5" t="s">
        <v>43</v>
      </c>
      <c r="G10" s="5" t="s">
        <v>42</v>
      </c>
      <c r="H10" s="3"/>
      <c r="I10" s="5">
        <v>-42</v>
      </c>
      <c r="J10" s="5">
        <v>-45</v>
      </c>
      <c r="K10" s="5" t="s">
        <v>34</v>
      </c>
    </row>
    <row r="11" spans="1:11" ht="17">
      <c r="A11" s="5"/>
      <c r="B11" s="5"/>
      <c r="C11" s="5"/>
      <c r="D11" s="5"/>
      <c r="E11" s="5" t="s">
        <v>45</v>
      </c>
      <c r="F11" s="5"/>
      <c r="G11" s="5"/>
      <c r="H11" s="3"/>
      <c r="I11" s="5">
        <v>200</v>
      </c>
      <c r="J11" s="5">
        <v>190</v>
      </c>
      <c r="K11" s="5" t="s">
        <v>34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baseColWidth="10" defaultColWidth="8.83203125" defaultRowHeight="14"/>
  <cols>
    <col min="1" max="1" width="18" customWidth="1"/>
    <col min="2" max="5" width="14" customWidth="1"/>
    <col min="6" max="6" width="18" customWidth="1"/>
    <col min="7" max="7" width="16" customWidth="1"/>
    <col min="8" max="10" width="14" customWidth="1"/>
  </cols>
  <sheetData>
    <row r="1" spans="1:10" ht="38">
      <c r="A1" s="2" t="s">
        <v>5</v>
      </c>
      <c r="B1" s="2" t="s">
        <v>9</v>
      </c>
      <c r="C1" s="2" t="s">
        <v>12</v>
      </c>
      <c r="D1" s="2" t="s">
        <v>15</v>
      </c>
      <c r="E1" s="2" t="s">
        <v>18</v>
      </c>
      <c r="F1" s="2" t="s">
        <v>21</v>
      </c>
      <c r="G1" s="2" t="s">
        <v>24</v>
      </c>
      <c r="H1" s="2" t="s">
        <v>32</v>
      </c>
      <c r="I1" s="2" t="s">
        <v>33</v>
      </c>
      <c r="J1" s="2" t="s">
        <v>34</v>
      </c>
    </row>
    <row r="2" spans="1:10" ht="17">
      <c r="A2" s="5" t="s">
        <v>46</v>
      </c>
      <c r="B2" s="5" t="s">
        <v>36</v>
      </c>
      <c r="C2" s="5" t="s">
        <v>37</v>
      </c>
      <c r="D2" s="5" t="s">
        <v>38</v>
      </c>
      <c r="E2" s="5" t="s">
        <v>39</v>
      </c>
      <c r="F2" s="5"/>
      <c r="G2" s="5" t="s">
        <v>26</v>
      </c>
      <c r="H2" s="5">
        <v>350</v>
      </c>
      <c r="I2" s="5">
        <v>380</v>
      </c>
      <c r="J2" s="5" t="s">
        <v>34</v>
      </c>
    </row>
    <row r="3" spans="1:10" ht="17">
      <c r="A3" s="5"/>
      <c r="B3" s="5"/>
      <c r="C3" s="5"/>
      <c r="D3" s="5"/>
      <c r="E3" s="5" t="s">
        <v>20</v>
      </c>
      <c r="F3" s="5" t="s">
        <v>23</v>
      </c>
      <c r="G3" s="5" t="s">
        <v>26</v>
      </c>
      <c r="H3" s="5">
        <v>864</v>
      </c>
      <c r="I3" s="5">
        <v>864</v>
      </c>
      <c r="J3" s="5" t="s">
        <v>34</v>
      </c>
    </row>
    <row r="4" spans="1:10" ht="17">
      <c r="A4" s="5"/>
      <c r="B4" s="5"/>
      <c r="C4" s="5"/>
      <c r="D4" s="5"/>
      <c r="E4" s="5" t="s">
        <v>20</v>
      </c>
      <c r="F4" s="5" t="s">
        <v>40</v>
      </c>
      <c r="G4" s="5" t="s">
        <v>26</v>
      </c>
      <c r="H4" s="5">
        <v>-250</v>
      </c>
      <c r="I4" s="5">
        <v>-230</v>
      </c>
      <c r="J4" s="5" t="s">
        <v>34</v>
      </c>
    </row>
    <row r="5" spans="1:10" ht="17">
      <c r="A5" s="5"/>
      <c r="B5" s="5"/>
      <c r="C5" s="5"/>
      <c r="D5" s="5"/>
      <c r="E5" s="5" t="s">
        <v>20</v>
      </c>
      <c r="F5" s="5" t="s">
        <v>41</v>
      </c>
      <c r="G5" s="5" t="s">
        <v>42</v>
      </c>
      <c r="H5" s="5">
        <v>300</v>
      </c>
      <c r="I5" s="5">
        <v>320</v>
      </c>
      <c r="J5" s="5" t="s">
        <v>34</v>
      </c>
    </row>
    <row r="6" spans="1:10" ht="17">
      <c r="A6" s="5"/>
      <c r="B6" s="5"/>
      <c r="C6" s="5"/>
      <c r="D6" s="5"/>
      <c r="E6" s="5" t="s">
        <v>20</v>
      </c>
      <c r="F6" s="5" t="s">
        <v>43</v>
      </c>
      <c r="G6" s="5" t="s">
        <v>42</v>
      </c>
      <c r="H6" s="5">
        <v>-50</v>
      </c>
      <c r="I6" s="5">
        <v>-60</v>
      </c>
      <c r="J6" s="5" t="s">
        <v>34</v>
      </c>
    </row>
    <row r="7" spans="1:10" ht="17">
      <c r="A7" s="5"/>
      <c r="B7" s="5"/>
      <c r="C7" s="5"/>
      <c r="D7" s="5"/>
      <c r="E7" s="5" t="s">
        <v>44</v>
      </c>
      <c r="F7" s="5" t="s">
        <v>23</v>
      </c>
      <c r="G7" s="5" t="s">
        <v>26</v>
      </c>
      <c r="H7" s="5">
        <v>864</v>
      </c>
      <c r="I7" s="5">
        <v>864</v>
      </c>
      <c r="J7" s="5" t="s">
        <v>34</v>
      </c>
    </row>
    <row r="8" spans="1:10" ht="17">
      <c r="A8" s="5"/>
      <c r="B8" s="5"/>
      <c r="C8" s="5"/>
      <c r="D8" s="5"/>
      <c r="E8" s="5" t="s">
        <v>44</v>
      </c>
      <c r="F8" s="5" t="s">
        <v>40</v>
      </c>
      <c r="G8" s="5" t="s">
        <v>26</v>
      </c>
      <c r="H8" s="5">
        <v>-300</v>
      </c>
      <c r="I8" s="5">
        <v>-280</v>
      </c>
      <c r="J8" s="5" t="s">
        <v>34</v>
      </c>
    </row>
    <row r="9" spans="1:10" ht="17">
      <c r="A9" s="5"/>
      <c r="B9" s="5"/>
      <c r="C9" s="5"/>
      <c r="D9" s="5"/>
      <c r="E9" s="5" t="s">
        <v>44</v>
      </c>
      <c r="F9" s="5" t="s">
        <v>41</v>
      </c>
      <c r="G9" s="5" t="s">
        <v>42</v>
      </c>
      <c r="H9" s="5">
        <v>280</v>
      </c>
      <c r="I9" s="5">
        <v>290</v>
      </c>
      <c r="J9" s="5" t="s">
        <v>34</v>
      </c>
    </row>
    <row r="10" spans="1:10" ht="17">
      <c r="A10" s="5"/>
      <c r="B10" s="5"/>
      <c r="C10" s="5"/>
      <c r="D10" s="5"/>
      <c r="E10" s="5" t="s">
        <v>44</v>
      </c>
      <c r="F10" s="5" t="s">
        <v>43</v>
      </c>
      <c r="G10" s="5" t="s">
        <v>42</v>
      </c>
      <c r="H10" s="5">
        <v>-70</v>
      </c>
      <c r="I10" s="5">
        <v>-90</v>
      </c>
      <c r="J10" s="5" t="s">
        <v>34</v>
      </c>
    </row>
    <row r="11" spans="1:10" ht="17">
      <c r="A11" s="5"/>
      <c r="B11" s="5"/>
      <c r="C11" s="5"/>
      <c r="D11" s="5"/>
      <c r="E11" s="5" t="s">
        <v>45</v>
      </c>
      <c r="F11" s="5"/>
      <c r="G11" s="5"/>
      <c r="H11" s="5">
        <v>500</v>
      </c>
      <c r="I11" s="5">
        <v>480</v>
      </c>
      <c r="J11" s="5" t="s">
        <v>34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selection activeCell="H8" sqref="H8"/>
    </sheetView>
  </sheetViews>
  <sheetFormatPr baseColWidth="10" defaultColWidth="8.83203125" defaultRowHeight="14"/>
  <cols>
    <col min="1" max="2" width="18" customWidth="1"/>
    <col min="3" max="3" width="24" customWidth="1"/>
    <col min="4" max="4" width="38" customWidth="1"/>
    <col min="5" max="5" width="45" customWidth="1"/>
    <col min="6" max="6" width="12" customWidth="1"/>
    <col min="7" max="7" width="16" customWidth="1"/>
    <col min="8" max="8" width="40" customWidth="1"/>
  </cols>
  <sheetData>
    <row r="1" spans="1:8">
      <c r="A1" s="12" t="s">
        <v>47</v>
      </c>
      <c r="B1" s="13"/>
      <c r="C1" s="13"/>
      <c r="D1" s="13"/>
      <c r="E1" s="13"/>
      <c r="F1" s="13"/>
      <c r="G1" s="13"/>
      <c r="H1" s="14"/>
    </row>
    <row r="2" spans="1:8" ht="19">
      <c r="A2" s="2" t="s">
        <v>18</v>
      </c>
      <c r="B2" s="2" t="s">
        <v>21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</row>
    <row r="3" spans="1:8" ht="51">
      <c r="A3" s="6" t="s">
        <v>39</v>
      </c>
      <c r="B3" s="4" t="s">
        <v>54</v>
      </c>
      <c r="C3" s="7" t="s">
        <v>55</v>
      </c>
      <c r="D3" s="7" t="s">
        <v>56</v>
      </c>
      <c r="E3" s="4" t="s">
        <v>57</v>
      </c>
      <c r="F3" s="8" t="s">
        <v>26</v>
      </c>
      <c r="G3" s="9" t="s">
        <v>58</v>
      </c>
      <c r="H3" s="10" t="s">
        <v>59</v>
      </c>
    </row>
    <row r="4" spans="1:8" ht="68">
      <c r="A4" s="6" t="s">
        <v>20</v>
      </c>
      <c r="B4" s="4" t="s">
        <v>23</v>
      </c>
      <c r="C4" s="7" t="s">
        <v>60</v>
      </c>
      <c r="D4" s="7" t="s">
        <v>61</v>
      </c>
      <c r="E4" s="4" t="s">
        <v>62</v>
      </c>
      <c r="F4" s="8" t="s">
        <v>26</v>
      </c>
      <c r="G4" s="9" t="s">
        <v>63</v>
      </c>
      <c r="H4" s="10" t="e">
        <f ca="1">ROUNDDOWN(Cum/Pallet_Qty,0)*Pallet_Qty
                                                                                                                                                                                                                                                                Cum=ΣOUTPUT_daily(周六截止)</f>
        <v>#NAME?</v>
      </c>
    </row>
    <row r="5" spans="1:8" ht="17">
      <c r="A5" s="6" t="s">
        <v>20</v>
      </c>
      <c r="B5" s="4" t="s">
        <v>40</v>
      </c>
      <c r="C5" s="7" t="s">
        <v>64</v>
      </c>
      <c r="D5" s="7" t="s">
        <v>65</v>
      </c>
      <c r="E5" s="4" t="s">
        <v>66</v>
      </c>
      <c r="F5" s="8" t="s">
        <v>26</v>
      </c>
      <c r="G5" s="9" t="s">
        <v>67</v>
      </c>
      <c r="H5" s="10" t="e">
        <f>ETD - ExF</f>
        <v>#NAME?</v>
      </c>
    </row>
    <row r="6" spans="1:8" ht="51">
      <c r="A6" s="6" t="s">
        <v>20</v>
      </c>
      <c r="B6" s="4" t="s">
        <v>41</v>
      </c>
      <c r="C6" s="7" t="s">
        <v>60</v>
      </c>
      <c r="D6" s="7" t="s">
        <v>68</v>
      </c>
      <c r="E6" s="4" t="s">
        <v>69</v>
      </c>
      <c r="F6" s="8" t="s">
        <v>42</v>
      </c>
      <c r="G6" s="9" t="s">
        <v>70</v>
      </c>
      <c r="H6" s="10" t="e">
        <f ca="1">ΣOUTPUT_daily(周三截止)
                                                                                                                                                                                                                                                                无托盘取整</f>
        <v>#NAME?</v>
      </c>
    </row>
    <row r="7" spans="1:8" ht="17">
      <c r="A7" s="6" t="s">
        <v>20</v>
      </c>
      <c r="B7" s="4" t="s">
        <v>43</v>
      </c>
      <c r="C7" s="7" t="s">
        <v>64</v>
      </c>
      <c r="D7" s="7" t="s">
        <v>65</v>
      </c>
      <c r="E7" s="4" t="s">
        <v>71</v>
      </c>
      <c r="F7" s="8" t="s">
        <v>42</v>
      </c>
      <c r="G7" s="9" t="s">
        <v>67</v>
      </c>
      <c r="H7" s="10" t="e">
        <f>Packout - ExF</f>
        <v>#NAME?</v>
      </c>
    </row>
    <row r="8" spans="1:8" ht="34">
      <c r="A8" s="6" t="s">
        <v>44</v>
      </c>
      <c r="B8" s="4" t="s">
        <v>23</v>
      </c>
      <c r="C8" s="7" t="s">
        <v>72</v>
      </c>
      <c r="D8" s="7" t="s">
        <v>68</v>
      </c>
      <c r="E8" s="4" t="s">
        <v>73</v>
      </c>
      <c r="F8" s="8" t="s">
        <v>26</v>
      </c>
      <c r="G8" s="9" t="s">
        <v>74</v>
      </c>
      <c r="H8" s="10" t="e">
        <f>ROUNDDOWN(Cum/Pallet_Qty,0)*Pallet_Qty</f>
        <v>#NAME?</v>
      </c>
    </row>
    <row r="9" spans="1:8" ht="17">
      <c r="A9" s="6" t="s">
        <v>44</v>
      </c>
      <c r="B9" s="4" t="s">
        <v>40</v>
      </c>
      <c r="C9" s="7" t="s">
        <v>64</v>
      </c>
      <c r="D9" s="7" t="s">
        <v>65</v>
      </c>
      <c r="E9" s="4" t="s">
        <v>75</v>
      </c>
      <c r="F9" s="8" t="s">
        <v>26</v>
      </c>
      <c r="G9" s="9"/>
      <c r="H9" s="10" t="e">
        <f>Gated ETD - ExF</f>
        <v>#NAME?</v>
      </c>
    </row>
    <row r="10" spans="1:8" ht="34">
      <c r="A10" s="6" t="s">
        <v>44</v>
      </c>
      <c r="B10" s="4" t="s">
        <v>41</v>
      </c>
      <c r="C10" s="7" t="s">
        <v>72</v>
      </c>
      <c r="D10" s="7" t="s">
        <v>68</v>
      </c>
      <c r="E10" s="4" t="s">
        <v>76</v>
      </c>
      <c r="F10" s="8" t="s">
        <v>42</v>
      </c>
      <c r="G10" s="9"/>
      <c r="H10" s="10" t="e">
        <f ca="1">ΣOUTPUT_daily(周三截止)</f>
        <v>#NAME?</v>
      </c>
    </row>
    <row r="11" spans="1:8" ht="17">
      <c r="A11" s="6" t="s">
        <v>44</v>
      </c>
      <c r="B11" s="4" t="s">
        <v>43</v>
      </c>
      <c r="C11" s="7" t="s">
        <v>64</v>
      </c>
      <c r="D11" s="7" t="s">
        <v>65</v>
      </c>
      <c r="E11" s="4" t="s">
        <v>77</v>
      </c>
      <c r="F11" s="8" t="s">
        <v>42</v>
      </c>
      <c r="G11" s="9"/>
      <c r="H11" s="10" t="e">
        <f>Gated Packout - ExF</f>
        <v>#NAME?</v>
      </c>
    </row>
    <row r="12" spans="1:8" ht="68">
      <c r="A12" s="6" t="s">
        <v>45</v>
      </c>
      <c r="B12" s="4" t="s">
        <v>78</v>
      </c>
      <c r="C12" s="7" t="s">
        <v>79</v>
      </c>
      <c r="D12" s="7" t="s">
        <v>80</v>
      </c>
      <c r="E12" s="4" t="s">
        <v>81</v>
      </c>
      <c r="F12" s="8" t="s">
        <v>82</v>
      </c>
      <c r="G12" s="9" t="s">
        <v>83</v>
      </c>
      <c r="H12" s="10" t="s">
        <v>84</v>
      </c>
    </row>
  </sheetData>
  <mergeCells count="1">
    <mergeCell ref="A1:H1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sqref="A1:D1"/>
    </sheetView>
  </sheetViews>
  <sheetFormatPr baseColWidth="10" defaultColWidth="8.83203125" defaultRowHeight="14"/>
  <cols>
    <col min="1" max="1" width="48" customWidth="1"/>
    <col min="2" max="2" width="18" customWidth="1"/>
    <col min="3" max="3" width="60" customWidth="1"/>
    <col min="4" max="4" width="30" customWidth="1"/>
  </cols>
  <sheetData>
    <row r="1" spans="1:4">
      <c r="A1" s="12" t="s">
        <v>85</v>
      </c>
      <c r="B1" s="13"/>
      <c r="C1" s="13"/>
      <c r="D1" s="14"/>
    </row>
    <row r="2" spans="1:4" ht="19">
      <c r="A2" s="2" t="s">
        <v>86</v>
      </c>
      <c r="B2" s="2" t="s">
        <v>87</v>
      </c>
      <c r="C2" s="2" t="s">
        <v>88</v>
      </c>
      <c r="D2" s="2" t="s">
        <v>89</v>
      </c>
    </row>
    <row r="3" spans="1:4" ht="34">
      <c r="A3" s="4" t="s">
        <v>90</v>
      </c>
      <c r="B3" s="4" t="s">
        <v>91</v>
      </c>
      <c r="C3" s="4" t="s">
        <v>92</v>
      </c>
      <c r="D3" s="4" t="s">
        <v>93</v>
      </c>
    </row>
    <row r="4" spans="1:4" ht="34">
      <c r="A4" s="4" t="s">
        <v>94</v>
      </c>
      <c r="B4" s="4" t="s">
        <v>95</v>
      </c>
      <c r="C4" s="4" t="s">
        <v>96</v>
      </c>
      <c r="D4" s="4" t="s">
        <v>97</v>
      </c>
    </row>
    <row r="5" spans="1:4" ht="34">
      <c r="A5" s="4" t="s">
        <v>98</v>
      </c>
      <c r="B5" s="4" t="s">
        <v>99</v>
      </c>
      <c r="C5" s="4" t="s">
        <v>100</v>
      </c>
      <c r="D5" s="4" t="s">
        <v>101</v>
      </c>
    </row>
    <row r="6" spans="1:4" ht="34">
      <c r="A6" s="4" t="s">
        <v>102</v>
      </c>
      <c r="B6" s="4" t="s">
        <v>103</v>
      </c>
      <c r="C6" s="4" t="s">
        <v>104</v>
      </c>
      <c r="D6" s="4" t="s">
        <v>105</v>
      </c>
    </row>
    <row r="7" spans="1:4" ht="17">
      <c r="A7" s="4" t="s">
        <v>106</v>
      </c>
      <c r="B7" s="4" t="s">
        <v>107</v>
      </c>
      <c r="C7" s="4" t="s">
        <v>108</v>
      </c>
      <c r="D7" s="4" t="s">
        <v>109</v>
      </c>
    </row>
    <row r="8" spans="1:4" ht="17">
      <c r="A8" s="4" t="s">
        <v>110</v>
      </c>
      <c r="B8" s="4" t="s">
        <v>111</v>
      </c>
      <c r="C8" s="4" t="s">
        <v>112</v>
      </c>
      <c r="D8" s="4" t="s">
        <v>113</v>
      </c>
    </row>
    <row r="9" spans="1:4" ht="51">
      <c r="A9" s="4" t="s">
        <v>114</v>
      </c>
      <c r="B9" s="4" t="s">
        <v>115</v>
      </c>
      <c r="C9" s="4" t="s">
        <v>116</v>
      </c>
      <c r="D9" s="4" t="s">
        <v>117</v>
      </c>
    </row>
  </sheetData>
  <mergeCells count="1">
    <mergeCell ref="A1:D1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selection sqref="A1:G1"/>
    </sheetView>
  </sheetViews>
  <sheetFormatPr baseColWidth="10" defaultColWidth="8.83203125" defaultRowHeight="14"/>
  <cols>
    <col min="1" max="2" width="10" customWidth="1"/>
    <col min="3" max="3" width="18" customWidth="1"/>
    <col min="4" max="4" width="14" customWidth="1"/>
    <col min="5" max="5" width="20" customWidth="1"/>
    <col min="6" max="6" width="55" customWidth="1"/>
    <col min="7" max="7" width="25" customWidth="1"/>
  </cols>
  <sheetData>
    <row r="1" spans="1:7">
      <c r="A1" s="12" t="s">
        <v>118</v>
      </c>
      <c r="B1" s="13"/>
      <c r="C1" s="13"/>
      <c r="D1" s="13"/>
      <c r="E1" s="13"/>
      <c r="F1" s="13"/>
      <c r="G1" s="14"/>
    </row>
    <row r="2" spans="1:7" ht="19">
      <c r="A2" s="2" t="s">
        <v>119</v>
      </c>
      <c r="B2" s="2" t="s">
        <v>120</v>
      </c>
      <c r="C2" s="2" t="s">
        <v>121</v>
      </c>
      <c r="D2" s="2" t="s">
        <v>122</v>
      </c>
      <c r="E2" s="2" t="s">
        <v>3</v>
      </c>
      <c r="F2" s="2" t="s">
        <v>123</v>
      </c>
      <c r="G2" s="2" t="s">
        <v>124</v>
      </c>
    </row>
    <row r="3" spans="1:7" ht="51">
      <c r="A3" s="3">
        <v>0</v>
      </c>
      <c r="B3" s="4" t="s">
        <v>125</v>
      </c>
      <c r="C3" s="4" t="s">
        <v>126</v>
      </c>
      <c r="D3" s="4" t="s">
        <v>127</v>
      </c>
      <c r="E3" s="3" t="s">
        <v>128</v>
      </c>
      <c r="F3" s="4" t="s">
        <v>129</v>
      </c>
      <c r="G3" s="4" t="s">
        <v>130</v>
      </c>
    </row>
    <row r="4" spans="1:7" ht="34">
      <c r="A4" s="3">
        <v>1</v>
      </c>
      <c r="B4" s="4" t="s">
        <v>131</v>
      </c>
      <c r="C4" s="4" t="s">
        <v>132</v>
      </c>
      <c r="D4" s="4" t="s">
        <v>133</v>
      </c>
      <c r="E4" s="3" t="s">
        <v>134</v>
      </c>
      <c r="F4" s="4" t="s">
        <v>129</v>
      </c>
      <c r="G4" s="4"/>
    </row>
    <row r="5" spans="1:7" ht="17">
      <c r="A5" s="3">
        <v>2</v>
      </c>
      <c r="B5" s="4" t="s">
        <v>135</v>
      </c>
      <c r="C5" s="4" t="s">
        <v>136</v>
      </c>
      <c r="D5" s="4" t="s">
        <v>137</v>
      </c>
      <c r="E5" s="3" t="s">
        <v>138</v>
      </c>
      <c r="F5" s="4" t="s">
        <v>139</v>
      </c>
      <c r="G5" s="4" t="s">
        <v>140</v>
      </c>
    </row>
    <row r="6" spans="1:7" ht="34">
      <c r="A6" s="3">
        <v>3</v>
      </c>
      <c r="B6" s="4" t="s">
        <v>141</v>
      </c>
      <c r="C6" s="4" t="s">
        <v>142</v>
      </c>
      <c r="D6" s="4" t="s">
        <v>143</v>
      </c>
      <c r="E6" s="3" t="s">
        <v>144</v>
      </c>
      <c r="F6" s="4" t="s">
        <v>145</v>
      </c>
      <c r="G6" s="4" t="s">
        <v>146</v>
      </c>
    </row>
    <row r="7" spans="1:7" ht="17">
      <c r="A7" s="3">
        <v>4</v>
      </c>
      <c r="B7" s="4" t="s">
        <v>147</v>
      </c>
      <c r="C7" s="4" t="s">
        <v>148</v>
      </c>
      <c r="D7" s="4" t="s">
        <v>149</v>
      </c>
      <c r="E7" s="3" t="s">
        <v>148</v>
      </c>
      <c r="F7" s="4" t="s">
        <v>150</v>
      </c>
      <c r="G7" s="4" t="s">
        <v>151</v>
      </c>
    </row>
    <row r="8" spans="1:7" ht="17">
      <c r="A8" s="3">
        <v>5</v>
      </c>
      <c r="B8" s="4" t="s">
        <v>152</v>
      </c>
      <c r="C8" s="4" t="s">
        <v>153</v>
      </c>
      <c r="D8" s="4" t="s">
        <v>8</v>
      </c>
      <c r="E8" s="3" t="s">
        <v>154</v>
      </c>
      <c r="F8" s="4" t="s">
        <v>155</v>
      </c>
      <c r="G8" s="4" t="s">
        <v>156</v>
      </c>
    </row>
    <row r="9" spans="1:7" ht="17">
      <c r="A9" s="3">
        <v>6</v>
      </c>
      <c r="B9" s="4" t="s">
        <v>157</v>
      </c>
      <c r="C9" s="4" t="s">
        <v>158</v>
      </c>
      <c r="D9" s="4" t="s">
        <v>159</v>
      </c>
      <c r="E9" s="3" t="s">
        <v>160</v>
      </c>
      <c r="F9" s="4" t="s">
        <v>161</v>
      </c>
      <c r="G9" s="4"/>
    </row>
    <row r="10" spans="1:7" ht="17">
      <c r="A10" s="3">
        <v>7</v>
      </c>
      <c r="B10" s="4" t="s">
        <v>162</v>
      </c>
      <c r="C10" s="4" t="s">
        <v>163</v>
      </c>
      <c r="D10" s="4" t="s">
        <v>164</v>
      </c>
      <c r="E10" s="3" t="s">
        <v>165</v>
      </c>
      <c r="F10" s="4" t="s">
        <v>166</v>
      </c>
      <c r="G10" s="4"/>
    </row>
    <row r="11" spans="1:7" ht="34">
      <c r="A11" s="3" t="s">
        <v>167</v>
      </c>
      <c r="B11" s="4" t="s">
        <v>168</v>
      </c>
      <c r="C11" s="4" t="s">
        <v>169</v>
      </c>
      <c r="D11" s="4" t="s">
        <v>170</v>
      </c>
      <c r="E11" s="3" t="s">
        <v>171</v>
      </c>
      <c r="F11" s="4" t="s">
        <v>172</v>
      </c>
      <c r="G11" s="4" t="s">
        <v>173</v>
      </c>
    </row>
  </sheetData>
  <mergeCells count="1">
    <mergeCell ref="A1:G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字段说明</vt:lpstr>
      <vt:lpstr>Sample-PKG</vt:lpstr>
      <vt:lpstr>Sample-GB</vt:lpstr>
      <vt:lpstr>取数逻辑明细</vt:lpstr>
      <vt:lpstr>数据源文件清单</vt:lpstr>
      <vt:lpstr>排产结果解析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Zhiying Chen</cp:lastModifiedBy>
  <dcterms:created xsi:type="dcterms:W3CDTF">2026-07-14T08:30:21Z</dcterms:created>
  <dcterms:modified xsi:type="dcterms:W3CDTF">2026-07-14T08:45:07Z</dcterms:modified>
</cp:coreProperties>
</file>