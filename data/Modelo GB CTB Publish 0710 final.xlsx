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ingchen/openhands_workspace/Projects/gtk-result-table/data/"/>
    </mc:Choice>
  </mc:AlternateContent>
  <xr:revisionPtr revIDLastSave="0" documentId="13_ncr:1_{3ECDD2D1-EFF0-F747-A6BA-ADE261501181}" xr6:coauthVersionLast="47" xr6:coauthVersionMax="47" xr10:uidLastSave="{00000000-0000-0000-0000-000000000000}"/>
  <bookViews>
    <workbookView xWindow="0" yWindow="660" windowWidth="34560" windowHeight="19880" xr2:uid="{58FA75CE-028B-E54A-B876-837FCE69A732}"/>
  </bookViews>
  <sheets>
    <sheet name="Modelo GB CTB " sheetId="8" r:id="rId1"/>
  </sheets>
  <definedNames>
    <definedName name="_xlnm._FilterDatabase" localSheetId="0" hidden="1">'Modelo GB CTB '!$A$3:$PL$37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O18" i="8" l="1"/>
  <c r="FP18" i="8"/>
  <c r="FQ18" i="8"/>
  <c r="FR18" i="8"/>
  <c r="GQ18" i="8" l="1"/>
  <c r="GO17" i="8"/>
  <c r="GN28" i="8"/>
  <c r="GM28" i="8"/>
  <c r="GJ18" i="8" l="1"/>
  <c r="GK18" i="8"/>
  <c r="GL18" i="8"/>
  <c r="GM18" i="8"/>
  <c r="GN18" i="8"/>
  <c r="GO18" i="8"/>
  <c r="GP18" i="8"/>
  <c r="GR18" i="8"/>
  <c r="GS18" i="8"/>
  <c r="GT18" i="8"/>
  <c r="GU18" i="8"/>
  <c r="GV18" i="8"/>
  <c r="GI18" i="8"/>
  <c r="GH18" i="8"/>
  <c r="FS18" i="8"/>
  <c r="FT18" i="8"/>
  <c r="FU18" i="8"/>
  <c r="FV18" i="8"/>
  <c r="FW18" i="8"/>
  <c r="FX18" i="8"/>
  <c r="FY18" i="8"/>
  <c r="FZ18" i="8"/>
  <c r="GA18" i="8"/>
  <c r="GB18" i="8"/>
  <c r="GC18" i="8"/>
  <c r="GD18" i="8"/>
  <c r="GE18" i="8"/>
  <c r="GF18" i="8"/>
  <c r="GG18" i="8"/>
  <c r="FN4" i="8"/>
  <c r="C37" i="8"/>
  <c r="C36" i="8"/>
  <c r="C35" i="8"/>
  <c r="C34" i="8"/>
  <c r="C33" i="8"/>
  <c r="C32" i="8"/>
  <c r="C31" i="8"/>
  <c r="C30" i="8"/>
  <c r="C29" i="8"/>
  <c r="C28" i="8"/>
  <c r="C27" i="8"/>
  <c r="C26" i="8"/>
  <c r="DH4" i="8"/>
  <c r="C25" i="8"/>
  <c r="C24" i="8"/>
  <c r="C23" i="8"/>
  <c r="C22" i="8"/>
  <c r="DZ4" i="8"/>
  <c r="DJ4" i="8"/>
  <c r="C21" i="8"/>
  <c r="C20" i="8"/>
  <c r="C19" i="8"/>
  <c r="C18" i="8"/>
  <c r="C17" i="8"/>
  <c r="C16" i="8"/>
  <c r="C15" i="8"/>
  <c r="M4" i="8"/>
  <c r="C14" i="8"/>
  <c r="C13" i="8"/>
  <c r="C12" i="8"/>
  <c r="C11" i="8"/>
  <c r="C10" i="8"/>
  <c r="P4" i="8"/>
  <c r="C9" i="8"/>
  <c r="C8" i="8"/>
  <c r="DL4" i="8"/>
  <c r="CV4" i="8"/>
  <c r="T4" i="8"/>
  <c r="C7" i="8"/>
  <c r="C6" i="8"/>
  <c r="CT4" i="8"/>
  <c r="CE4" i="8"/>
  <c r="CD4" i="8"/>
  <c r="S4" i="8"/>
  <c r="C5" i="8"/>
  <c r="EB4" i="8"/>
  <c r="DI4" i="8"/>
  <c r="CY4" i="8"/>
  <c r="CR4" i="8"/>
  <c r="CF4" i="8"/>
  <c r="AZ4" i="8"/>
  <c r="AY4" i="8"/>
  <c r="AJ4" i="8"/>
  <c r="AH4" i="8"/>
  <c r="PL2" i="8"/>
  <c r="PK2" i="8"/>
  <c r="PJ2" i="8"/>
  <c r="PI2" i="8"/>
  <c r="PH2" i="8"/>
  <c r="PG2" i="8"/>
  <c r="PF2" i="8"/>
  <c r="PE2" i="8"/>
  <c r="PD2" i="8"/>
  <c r="PC2" i="8"/>
  <c r="PB2" i="8"/>
  <c r="PA2" i="8"/>
  <c r="OZ2" i="8"/>
  <c r="OY2" i="8"/>
  <c r="OX2" i="8"/>
  <c r="OW2" i="8"/>
  <c r="OV2" i="8"/>
  <c r="OU2" i="8"/>
  <c r="OT2" i="8"/>
  <c r="OS2" i="8"/>
  <c r="OR2" i="8"/>
  <c r="OQ2" i="8"/>
  <c r="OP2" i="8"/>
  <c r="OO2" i="8"/>
  <c r="ON2" i="8"/>
  <c r="OM2" i="8"/>
  <c r="OL2" i="8"/>
  <c r="OK2" i="8"/>
  <c r="OJ2" i="8"/>
  <c r="OI2" i="8"/>
  <c r="OH2" i="8"/>
  <c r="OG2" i="8"/>
  <c r="OF2" i="8"/>
  <c r="OE2" i="8"/>
  <c r="OD2" i="8"/>
  <c r="OC2" i="8"/>
  <c r="OB2" i="8"/>
  <c r="OA2" i="8"/>
  <c r="NZ2" i="8"/>
  <c r="NY2" i="8"/>
  <c r="NX2" i="8"/>
  <c r="NW2" i="8"/>
  <c r="NV2" i="8"/>
  <c r="NU2" i="8"/>
  <c r="NT2" i="8"/>
  <c r="NS2" i="8"/>
  <c r="NR2" i="8"/>
  <c r="NQ2" i="8"/>
  <c r="NP2" i="8"/>
  <c r="NO2" i="8"/>
  <c r="NN2" i="8"/>
  <c r="NM2" i="8"/>
  <c r="NL2" i="8"/>
  <c r="NK2" i="8"/>
  <c r="NJ2" i="8"/>
  <c r="NI2" i="8"/>
  <c r="NH2" i="8"/>
  <c r="NG2" i="8"/>
  <c r="NF2" i="8"/>
  <c r="NE2" i="8"/>
  <c r="ND2" i="8"/>
  <c r="NC2" i="8"/>
  <c r="NB2" i="8"/>
  <c r="NA2" i="8"/>
  <c r="MZ2" i="8"/>
  <c r="MY2" i="8"/>
  <c r="MX2" i="8"/>
  <c r="MW2" i="8"/>
  <c r="MV2" i="8"/>
  <c r="MU2" i="8"/>
  <c r="MT2" i="8"/>
  <c r="MS2" i="8"/>
  <c r="MR2" i="8"/>
  <c r="MQ2" i="8"/>
  <c r="MP2" i="8"/>
  <c r="MO2" i="8"/>
  <c r="MN2" i="8"/>
  <c r="MM2" i="8"/>
  <c r="ML2" i="8"/>
  <c r="MK2" i="8"/>
  <c r="MJ2" i="8"/>
  <c r="MI2" i="8"/>
  <c r="MH2" i="8"/>
  <c r="MG2" i="8"/>
  <c r="MF2" i="8"/>
  <c r="ME2" i="8"/>
  <c r="MD2" i="8"/>
  <c r="MC2" i="8"/>
  <c r="MB2" i="8"/>
  <c r="MA2" i="8"/>
  <c r="LZ2" i="8"/>
  <c r="LY2" i="8"/>
  <c r="LX2" i="8"/>
  <c r="LW2" i="8"/>
  <c r="LV2" i="8"/>
  <c r="LU2" i="8"/>
  <c r="LT2" i="8"/>
  <c r="LS2" i="8"/>
  <c r="LR2" i="8"/>
  <c r="LQ2" i="8"/>
  <c r="LP2" i="8"/>
  <c r="LO2" i="8"/>
  <c r="LN2" i="8"/>
  <c r="LM2" i="8"/>
  <c r="LL2" i="8"/>
  <c r="LK2" i="8"/>
  <c r="LJ2" i="8"/>
  <c r="LI2" i="8"/>
  <c r="LH2" i="8"/>
  <c r="LG2" i="8"/>
  <c r="LF2" i="8"/>
  <c r="LE2" i="8"/>
  <c r="LD2" i="8"/>
  <c r="LC2" i="8"/>
  <c r="LB2" i="8"/>
  <c r="LA2" i="8"/>
  <c r="KZ2" i="8"/>
  <c r="KY2" i="8"/>
  <c r="KX2" i="8"/>
  <c r="KW2" i="8"/>
  <c r="KV2" i="8"/>
  <c r="KU2" i="8"/>
  <c r="KT2" i="8"/>
  <c r="KS2" i="8"/>
  <c r="KR2" i="8"/>
  <c r="KQ2" i="8"/>
  <c r="KP2" i="8"/>
  <c r="KO2" i="8"/>
  <c r="KN2" i="8"/>
  <c r="KM2" i="8"/>
  <c r="KL2" i="8"/>
  <c r="KK2" i="8"/>
  <c r="KJ2" i="8"/>
  <c r="KI2" i="8"/>
  <c r="KH2" i="8"/>
  <c r="KG2" i="8"/>
  <c r="KF2" i="8"/>
  <c r="KE2" i="8"/>
  <c r="KD2" i="8"/>
  <c r="KC2" i="8"/>
  <c r="KB2" i="8"/>
  <c r="KA2" i="8"/>
  <c r="JZ2" i="8"/>
  <c r="JY2" i="8"/>
  <c r="JX2" i="8"/>
  <c r="JW2" i="8"/>
  <c r="JV2" i="8"/>
  <c r="JU2" i="8"/>
  <c r="JT2" i="8"/>
  <c r="JS2" i="8"/>
  <c r="JR2" i="8"/>
  <c r="JQ2" i="8"/>
  <c r="JP2" i="8"/>
  <c r="JO2" i="8"/>
  <c r="JN2" i="8"/>
  <c r="JM2" i="8"/>
  <c r="JL2" i="8"/>
  <c r="JK2" i="8"/>
  <c r="JJ2" i="8"/>
  <c r="JI2" i="8"/>
  <c r="JH2" i="8"/>
  <c r="JG2" i="8"/>
  <c r="JF2" i="8"/>
  <c r="JE2" i="8"/>
  <c r="JD2" i="8"/>
  <c r="JC2" i="8"/>
  <c r="JB2" i="8"/>
  <c r="JA2" i="8"/>
  <c r="IZ2" i="8"/>
  <c r="IY2" i="8"/>
  <c r="IX2" i="8"/>
  <c r="IW2" i="8"/>
  <c r="IV2" i="8"/>
  <c r="IU2" i="8"/>
  <c r="IT2" i="8"/>
  <c r="IS2" i="8"/>
  <c r="IR2" i="8"/>
  <c r="IQ2" i="8"/>
  <c r="IP2" i="8"/>
  <c r="IO2" i="8"/>
  <c r="IN2" i="8"/>
  <c r="IM2" i="8"/>
  <c r="IL2" i="8"/>
  <c r="IK2" i="8"/>
  <c r="IJ2" i="8"/>
  <c r="II2" i="8"/>
  <c r="IH2" i="8"/>
  <c r="IG2" i="8"/>
  <c r="IF2" i="8"/>
  <c r="IE2" i="8"/>
  <c r="ID2" i="8"/>
  <c r="IC2" i="8"/>
  <c r="IB2" i="8"/>
  <c r="IA2" i="8"/>
  <c r="HZ2" i="8"/>
  <c r="HY2" i="8"/>
  <c r="HX2" i="8"/>
  <c r="HW2" i="8"/>
  <c r="HV2" i="8"/>
  <c r="HU2" i="8"/>
  <c r="HT2" i="8"/>
  <c r="HS2" i="8"/>
  <c r="HR2" i="8"/>
  <c r="HQ2" i="8"/>
  <c r="HP2" i="8"/>
  <c r="HO2" i="8"/>
  <c r="HN2" i="8"/>
  <c r="HM2" i="8"/>
  <c r="HL2" i="8"/>
  <c r="HK2" i="8"/>
  <c r="HJ2" i="8"/>
  <c r="HI2" i="8"/>
  <c r="HH2" i="8"/>
  <c r="HG2" i="8"/>
  <c r="HF2" i="8"/>
  <c r="HE2" i="8"/>
  <c r="HD2" i="8"/>
  <c r="HC2" i="8"/>
  <c r="HB2" i="8"/>
  <c r="HA2" i="8"/>
  <c r="GZ2" i="8"/>
  <c r="GY2" i="8"/>
  <c r="GX2" i="8"/>
  <c r="GW2" i="8"/>
  <c r="GV2" i="8"/>
  <c r="GU2" i="8"/>
  <c r="GT2" i="8"/>
  <c r="GS2" i="8"/>
  <c r="GR2" i="8"/>
  <c r="GQ2" i="8"/>
  <c r="GP2" i="8"/>
  <c r="GO2" i="8"/>
  <c r="GN2" i="8"/>
  <c r="GM2" i="8"/>
  <c r="GL2" i="8"/>
  <c r="GK2" i="8"/>
  <c r="GJ2" i="8"/>
  <c r="GI2" i="8"/>
  <c r="GH2" i="8"/>
  <c r="GG2" i="8"/>
  <c r="GF2" i="8"/>
  <c r="GE2" i="8"/>
  <c r="GD2" i="8"/>
  <c r="GC2" i="8"/>
  <c r="GB2" i="8"/>
  <c r="GA2" i="8"/>
  <c r="FZ2" i="8"/>
  <c r="FY2" i="8"/>
  <c r="FX2" i="8"/>
  <c r="FW2" i="8"/>
  <c r="FV2" i="8"/>
  <c r="FU2" i="8"/>
  <c r="FT2" i="8"/>
  <c r="FS2" i="8"/>
  <c r="FR2" i="8"/>
  <c r="FQ2" i="8"/>
  <c r="FP2" i="8"/>
  <c r="FO2" i="8"/>
  <c r="FN2" i="8"/>
  <c r="FM2" i="8"/>
  <c r="FL2" i="8"/>
  <c r="FK2" i="8"/>
  <c r="FJ2" i="8"/>
  <c r="FI2" i="8"/>
  <c r="FH2" i="8"/>
  <c r="FG2" i="8"/>
  <c r="FF2" i="8"/>
  <c r="FE2" i="8"/>
  <c r="FD2" i="8"/>
  <c r="FC2" i="8"/>
  <c r="FB2" i="8"/>
  <c r="FA2" i="8"/>
  <c r="EZ2" i="8"/>
  <c r="EY2" i="8"/>
  <c r="EX2" i="8"/>
  <c r="EW2" i="8"/>
  <c r="EV2" i="8"/>
  <c r="EU2" i="8"/>
  <c r="ET2" i="8"/>
  <c r="ES2" i="8"/>
  <c r="ER2" i="8"/>
  <c r="EQ2" i="8"/>
  <c r="EP2" i="8"/>
  <c r="EO2" i="8"/>
  <c r="EN2" i="8"/>
  <c r="EM2" i="8"/>
  <c r="EL2" i="8"/>
  <c r="EK2" i="8"/>
  <c r="EJ2" i="8"/>
  <c r="EI2" i="8"/>
  <c r="EH2" i="8"/>
  <c r="EG2" i="8"/>
  <c r="EF2" i="8"/>
  <c r="EE2" i="8"/>
  <c r="ED2" i="8"/>
  <c r="EC2" i="8"/>
  <c r="EB2" i="8"/>
  <c r="EA2" i="8"/>
  <c r="DZ2" i="8"/>
  <c r="DY2" i="8"/>
  <c r="DX2" i="8"/>
  <c r="DW2" i="8"/>
  <c r="DV2" i="8"/>
  <c r="DU2" i="8"/>
  <c r="DT2" i="8"/>
  <c r="DS2" i="8"/>
  <c r="DR2" i="8"/>
  <c r="DQ2" i="8"/>
  <c r="DP2" i="8"/>
  <c r="DO2" i="8"/>
  <c r="DN2" i="8"/>
  <c r="DM2" i="8"/>
  <c r="DL2" i="8"/>
  <c r="DK2" i="8"/>
  <c r="DJ2" i="8"/>
  <c r="DI2" i="8"/>
  <c r="DH2" i="8"/>
  <c r="DG2" i="8"/>
  <c r="DF2" i="8"/>
  <c r="DE2" i="8"/>
  <c r="DD2" i="8"/>
  <c r="DC2" i="8"/>
  <c r="DB2" i="8"/>
  <c r="DA2" i="8"/>
  <c r="CZ2" i="8"/>
  <c r="CY2" i="8"/>
  <c r="CX2" i="8"/>
  <c r="CW2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PL1" i="8"/>
  <c r="PK1" i="8"/>
  <c r="PJ1" i="8"/>
  <c r="PI1" i="8"/>
  <c r="PH1" i="8"/>
  <c r="PG1" i="8"/>
  <c r="PF1" i="8"/>
  <c r="PE1" i="8"/>
  <c r="PD1" i="8"/>
  <c r="PC1" i="8"/>
  <c r="PB1" i="8"/>
  <c r="PA1" i="8"/>
  <c r="OZ1" i="8"/>
  <c r="OY1" i="8"/>
  <c r="OX1" i="8"/>
  <c r="OW1" i="8"/>
  <c r="OV1" i="8"/>
  <c r="OU1" i="8"/>
  <c r="OT1" i="8"/>
  <c r="OS1" i="8"/>
  <c r="OR1" i="8"/>
  <c r="OQ1" i="8"/>
  <c r="OP1" i="8"/>
  <c r="OO1" i="8"/>
  <c r="ON1" i="8"/>
  <c r="OM1" i="8"/>
  <c r="OL1" i="8"/>
  <c r="OK1" i="8"/>
  <c r="OJ1" i="8"/>
  <c r="OI1" i="8"/>
  <c r="OH1" i="8"/>
  <c r="OG1" i="8"/>
  <c r="OF1" i="8"/>
  <c r="OE1" i="8"/>
  <c r="OD1" i="8"/>
  <c r="OC1" i="8"/>
  <c r="OB1" i="8"/>
  <c r="OA1" i="8"/>
  <c r="NZ1" i="8"/>
  <c r="NY1" i="8"/>
  <c r="NX1" i="8"/>
  <c r="NW1" i="8"/>
  <c r="NV1" i="8"/>
  <c r="NU1" i="8"/>
  <c r="NT1" i="8"/>
  <c r="NS1" i="8"/>
  <c r="NR1" i="8"/>
  <c r="NQ1" i="8"/>
  <c r="NP1" i="8"/>
  <c r="NO1" i="8"/>
  <c r="NN1" i="8"/>
  <c r="NM1" i="8"/>
  <c r="NL1" i="8"/>
  <c r="NK1" i="8"/>
  <c r="NJ1" i="8"/>
  <c r="NI1" i="8"/>
  <c r="NH1" i="8"/>
  <c r="NG1" i="8"/>
  <c r="NF1" i="8"/>
  <c r="NE1" i="8"/>
  <c r="ND1" i="8"/>
  <c r="NC1" i="8"/>
  <c r="NB1" i="8"/>
  <c r="NA1" i="8"/>
  <c r="MZ1" i="8"/>
  <c r="MY1" i="8"/>
  <c r="MX1" i="8"/>
  <c r="MW1" i="8"/>
  <c r="MV1" i="8"/>
  <c r="MU1" i="8"/>
  <c r="MT1" i="8"/>
  <c r="MS1" i="8"/>
  <c r="MR1" i="8"/>
  <c r="MQ1" i="8"/>
  <c r="MP1" i="8"/>
  <c r="MO1" i="8"/>
  <c r="MN1" i="8"/>
  <c r="MM1" i="8"/>
  <c r="ML1" i="8"/>
  <c r="MK1" i="8"/>
  <c r="MJ1" i="8"/>
  <c r="MI1" i="8"/>
  <c r="MH1" i="8"/>
  <c r="MG1" i="8"/>
  <c r="MF1" i="8"/>
  <c r="ME1" i="8"/>
  <c r="MD1" i="8"/>
  <c r="MC1" i="8"/>
  <c r="MB1" i="8"/>
  <c r="MA1" i="8"/>
  <c r="LZ1" i="8"/>
  <c r="LY1" i="8"/>
  <c r="LX1" i="8"/>
  <c r="LW1" i="8"/>
  <c r="LV1" i="8"/>
  <c r="LU1" i="8"/>
  <c r="LT1" i="8"/>
  <c r="LS1" i="8"/>
  <c r="LR1" i="8"/>
  <c r="LQ1" i="8"/>
  <c r="LP1" i="8"/>
  <c r="LO1" i="8"/>
  <c r="LN1" i="8"/>
  <c r="LM1" i="8"/>
  <c r="LL1" i="8"/>
  <c r="LK1" i="8"/>
  <c r="LJ1" i="8"/>
  <c r="LI1" i="8"/>
  <c r="LH1" i="8"/>
  <c r="LG1" i="8"/>
  <c r="LF1" i="8"/>
  <c r="LE1" i="8"/>
  <c r="LD1" i="8"/>
  <c r="LC1" i="8"/>
  <c r="LB1" i="8"/>
  <c r="LA1" i="8"/>
  <c r="KZ1" i="8"/>
  <c r="KY1" i="8"/>
  <c r="KX1" i="8"/>
  <c r="KW1" i="8"/>
  <c r="KV1" i="8"/>
  <c r="KU1" i="8"/>
  <c r="KT1" i="8"/>
  <c r="KS1" i="8"/>
  <c r="KR1" i="8"/>
  <c r="KQ1" i="8"/>
  <c r="KP1" i="8"/>
  <c r="KO1" i="8"/>
  <c r="KN1" i="8"/>
  <c r="KM1" i="8"/>
  <c r="KL1" i="8"/>
  <c r="KK1" i="8"/>
  <c r="KJ1" i="8"/>
  <c r="KI1" i="8"/>
  <c r="KH1" i="8"/>
  <c r="KG1" i="8"/>
  <c r="KF1" i="8"/>
  <c r="KE1" i="8"/>
  <c r="KD1" i="8"/>
  <c r="KC1" i="8"/>
  <c r="KB1" i="8"/>
  <c r="KA1" i="8"/>
  <c r="JZ1" i="8"/>
  <c r="JY1" i="8"/>
  <c r="JX1" i="8"/>
  <c r="JW1" i="8"/>
  <c r="JV1" i="8"/>
  <c r="JU1" i="8"/>
  <c r="JT1" i="8"/>
  <c r="JS1" i="8"/>
  <c r="JR1" i="8"/>
  <c r="JQ1" i="8"/>
  <c r="JP1" i="8"/>
  <c r="JO1" i="8"/>
  <c r="JN1" i="8"/>
  <c r="JM1" i="8"/>
  <c r="JL1" i="8"/>
  <c r="JK1" i="8"/>
  <c r="JJ1" i="8"/>
  <c r="JI1" i="8"/>
  <c r="JH1" i="8"/>
  <c r="JG1" i="8"/>
  <c r="JF1" i="8"/>
  <c r="JE1" i="8"/>
  <c r="JD1" i="8"/>
  <c r="JC1" i="8"/>
  <c r="JB1" i="8"/>
  <c r="JA1" i="8"/>
  <c r="IZ1" i="8"/>
  <c r="IY1" i="8"/>
  <c r="IX1" i="8"/>
  <c r="IW1" i="8"/>
  <c r="IV1" i="8"/>
  <c r="IU1" i="8"/>
  <c r="IT1" i="8"/>
  <c r="IS1" i="8"/>
  <c r="IR1" i="8"/>
  <c r="IQ1" i="8"/>
  <c r="IP1" i="8"/>
  <c r="IO1" i="8"/>
  <c r="IN1" i="8"/>
  <c r="IM1" i="8"/>
  <c r="IL1" i="8"/>
  <c r="IK1" i="8"/>
  <c r="IJ1" i="8"/>
  <c r="II1" i="8"/>
  <c r="IH1" i="8"/>
  <c r="IG1" i="8"/>
  <c r="IF1" i="8"/>
  <c r="IE1" i="8"/>
  <c r="ID1" i="8"/>
  <c r="IC1" i="8"/>
  <c r="IB1" i="8"/>
  <c r="IA1" i="8"/>
  <c r="HZ1" i="8"/>
  <c r="HY1" i="8"/>
  <c r="HX1" i="8"/>
  <c r="HW1" i="8"/>
  <c r="HV1" i="8"/>
  <c r="HU1" i="8"/>
  <c r="HT1" i="8"/>
  <c r="HS1" i="8"/>
  <c r="HR1" i="8"/>
  <c r="HQ1" i="8"/>
  <c r="HP1" i="8"/>
  <c r="HO1" i="8"/>
  <c r="HN1" i="8"/>
  <c r="HM1" i="8"/>
  <c r="HL1" i="8"/>
  <c r="HK1" i="8"/>
  <c r="HJ1" i="8"/>
  <c r="HI1" i="8"/>
  <c r="HH1" i="8"/>
  <c r="HG1" i="8"/>
  <c r="HF1" i="8"/>
  <c r="HE1" i="8"/>
  <c r="HD1" i="8"/>
  <c r="HC1" i="8"/>
  <c r="HB1" i="8"/>
  <c r="HA1" i="8"/>
  <c r="GZ1" i="8"/>
  <c r="GY1" i="8"/>
  <c r="GX1" i="8"/>
  <c r="GW1" i="8"/>
  <c r="GV1" i="8"/>
  <c r="GU1" i="8"/>
  <c r="GT1" i="8"/>
  <c r="GS1" i="8"/>
  <c r="GR1" i="8"/>
  <c r="GQ1" i="8"/>
  <c r="GP1" i="8"/>
  <c r="GO1" i="8"/>
  <c r="GN1" i="8"/>
  <c r="GM1" i="8"/>
  <c r="GL1" i="8"/>
  <c r="GK1" i="8"/>
  <c r="GJ1" i="8"/>
  <c r="GI1" i="8"/>
  <c r="GH1" i="8"/>
  <c r="GG1" i="8"/>
  <c r="GF1" i="8"/>
  <c r="GE1" i="8"/>
  <c r="GD1" i="8"/>
  <c r="GC1" i="8"/>
  <c r="GB1" i="8"/>
  <c r="GA1" i="8"/>
  <c r="FZ1" i="8"/>
  <c r="FY1" i="8"/>
  <c r="FX1" i="8"/>
  <c r="FW1" i="8"/>
  <c r="FV1" i="8"/>
  <c r="FU1" i="8"/>
  <c r="FT1" i="8"/>
  <c r="FS1" i="8"/>
  <c r="FR1" i="8"/>
  <c r="FQ1" i="8"/>
  <c r="FP1" i="8"/>
  <c r="FO1" i="8"/>
  <c r="FN1" i="8"/>
  <c r="FM1" i="8"/>
  <c r="FL1" i="8"/>
  <c r="FK1" i="8"/>
  <c r="FJ1" i="8"/>
  <c r="FI1" i="8"/>
  <c r="FH1" i="8"/>
  <c r="FG1" i="8"/>
  <c r="FF1" i="8"/>
  <c r="FE1" i="8"/>
  <c r="FD1" i="8"/>
  <c r="FC1" i="8"/>
  <c r="FB1" i="8"/>
  <c r="FA1" i="8"/>
  <c r="EZ1" i="8"/>
  <c r="EY1" i="8"/>
  <c r="EX1" i="8"/>
  <c r="EW1" i="8"/>
  <c r="EV1" i="8"/>
  <c r="EU1" i="8"/>
  <c r="ET1" i="8"/>
  <c r="ES1" i="8"/>
  <c r="ER1" i="8"/>
  <c r="EQ1" i="8"/>
  <c r="EP1" i="8"/>
  <c r="EO1" i="8"/>
  <c r="EN1" i="8"/>
  <c r="EM1" i="8"/>
  <c r="EL1" i="8"/>
  <c r="EK1" i="8"/>
  <c r="EJ1" i="8"/>
  <c r="EI1" i="8"/>
  <c r="EH1" i="8"/>
  <c r="EG1" i="8"/>
  <c r="EF1" i="8"/>
  <c r="EE1" i="8"/>
  <c r="ED1" i="8"/>
  <c r="EC1" i="8"/>
  <c r="EB1" i="8"/>
  <c r="EA1" i="8"/>
  <c r="DZ1" i="8"/>
  <c r="DY1" i="8"/>
  <c r="DX1" i="8"/>
  <c r="DW1" i="8"/>
  <c r="DV1" i="8"/>
  <c r="DU1" i="8"/>
  <c r="DT1" i="8"/>
  <c r="DS1" i="8"/>
  <c r="DR1" i="8"/>
  <c r="DQ1" i="8"/>
  <c r="DP1" i="8"/>
  <c r="DO1" i="8"/>
  <c r="DN1" i="8"/>
  <c r="DM1" i="8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CP4" i="8" l="1"/>
  <c r="N4" i="8"/>
  <c r="DF4" i="8"/>
  <c r="J4" i="8"/>
  <c r="BA4" i="8"/>
  <c r="CO4" i="8"/>
  <c r="AF4" i="8"/>
  <c r="BS4" i="8"/>
  <c r="CW4" i="8"/>
  <c r="DM4" i="8"/>
  <c r="V4" i="8"/>
  <c r="AL4" i="8"/>
  <c r="BR4" i="8"/>
  <c r="CH4" i="8"/>
  <c r="CX4" i="8"/>
  <c r="DN4" i="8"/>
  <c r="ED4" i="8"/>
  <c r="EC4" i="8"/>
  <c r="AI4" i="8"/>
  <c r="DK4" i="8"/>
  <c r="EA4" i="8"/>
  <c r="Q4" i="8"/>
  <c r="AG4" i="8"/>
  <c r="BM4" i="8"/>
  <c r="AS4" i="8"/>
  <c r="BB4" i="8"/>
  <c r="BC4" i="8"/>
  <c r="Y4" i="8"/>
  <c r="AO4" i="8"/>
  <c r="BE4" i="8"/>
  <c r="DA4" i="8"/>
  <c r="DQ4" i="8"/>
  <c r="EG4" i="8"/>
  <c r="AN4" i="8"/>
  <c r="BD4" i="8"/>
  <c r="CJ4" i="8"/>
  <c r="CZ4" i="8"/>
  <c r="DP4" i="8"/>
  <c r="EF4" i="8"/>
  <c r="W4" i="8"/>
  <c r="BY4" i="8"/>
  <c r="DU4" i="8"/>
  <c r="Z4" i="8"/>
  <c r="AP4" i="8"/>
  <c r="BF4" i="8"/>
  <c r="DB4" i="8"/>
  <c r="EH4" i="8"/>
  <c r="DR4" i="8"/>
  <c r="BT4" i="8"/>
  <c r="K4" i="8"/>
  <c r="AA4" i="8"/>
  <c r="AQ4" i="8"/>
  <c r="BG4" i="8"/>
  <c r="BW4" i="8"/>
  <c r="CM4" i="8"/>
  <c r="DC4" i="8"/>
  <c r="DS4" i="8"/>
  <c r="EI4" i="8"/>
  <c r="X4" i="8"/>
  <c r="BU4" i="8"/>
  <c r="CU4" i="8"/>
  <c r="EQ4" i="8"/>
  <c r="BV4" i="8"/>
  <c r="BZ4" i="8"/>
  <c r="AT4" i="8"/>
  <c r="CG4" i="8"/>
  <c r="CK4" i="8"/>
  <c r="CB4" i="8"/>
  <c r="DX4" i="8"/>
  <c r="CL4" i="8"/>
  <c r="EN4" i="8"/>
  <c r="AW4" i="8"/>
  <c r="CC4" i="8"/>
  <c r="CS4" i="8"/>
  <c r="DY4" i="8"/>
  <c r="EO4" i="8"/>
  <c r="U4" i="8"/>
  <c r="AK4" i="8"/>
  <c r="AM4" i="8"/>
  <c r="CI4" i="8"/>
  <c r="DO4" i="8"/>
  <c r="EE4" i="8"/>
  <c r="R4" i="8"/>
  <c r="L4" i="8"/>
  <c r="AB4" i="8"/>
  <c r="AR4" i="8"/>
  <c r="BH4" i="8"/>
  <c r="BX4" i="8"/>
  <c r="CN4" i="8"/>
  <c r="DD4" i="8"/>
  <c r="DT4" i="8"/>
  <c r="EJ4" i="8"/>
  <c r="BI4" i="8"/>
  <c r="BJ4" i="8"/>
  <c r="EK4" i="8"/>
  <c r="O4" i="8"/>
  <c r="AE4" i="8"/>
  <c r="AU4" i="8"/>
  <c r="BK4" i="8"/>
  <c r="CA4" i="8"/>
  <c r="CQ4" i="8"/>
  <c r="DG4" i="8"/>
  <c r="DW4" i="8"/>
  <c r="EM4" i="8"/>
  <c r="BL4" i="8"/>
  <c r="EL4" i="8"/>
  <c r="BN4" i="8"/>
  <c r="AV4" i="8"/>
  <c r="BO4" i="8"/>
  <c r="DV4" i="8"/>
  <c r="EP4" i="8"/>
  <c r="AC4" i="8"/>
  <c r="BP4" i="8"/>
  <c r="AD4" i="8"/>
  <c r="AX4" i="8"/>
  <c r="BQ4" i="8"/>
  <c r="DE4" i="8"/>
  <c r="ER4" i="8"/>
  <c r="ES4" i="8" l="1"/>
  <c r="ET4" i="8" l="1"/>
  <c r="EU4" i="8" l="1"/>
  <c r="EV4" i="8" l="1"/>
  <c r="EW4" i="8" l="1"/>
  <c r="EX4" i="8" l="1"/>
  <c r="EY4" i="8" l="1"/>
  <c r="EZ4" i="8" l="1"/>
  <c r="FA4" i="8" l="1"/>
  <c r="FB4" i="8" l="1"/>
  <c r="FC4" i="8" l="1"/>
  <c r="FD4" i="8" l="1"/>
  <c r="FE4" i="8" l="1"/>
  <c r="FF4" i="8" l="1"/>
  <c r="FG4" i="8" l="1"/>
  <c r="FH4" i="8" l="1"/>
  <c r="FI4" i="8" l="1"/>
  <c r="FJ4" i="8" l="1"/>
  <c r="FK4" i="8" l="1"/>
  <c r="FL4" i="8" l="1"/>
  <c r="FM4" i="8" l="1"/>
  <c r="FO4" i="8" l="1"/>
  <c r="FP4" i="8" l="1"/>
  <c r="FQ4" i="8" l="1"/>
  <c r="FR4" i="8" l="1"/>
  <c r="FS4" i="8" l="1"/>
  <c r="FT4" i="8" l="1"/>
  <c r="FU4" i="8" l="1"/>
  <c r="FV4" i="8" l="1"/>
  <c r="FW4" i="8" l="1"/>
  <c r="FX4" i="8" l="1"/>
  <c r="FY4" i="8" l="1"/>
  <c r="FZ4" i="8" l="1"/>
  <c r="GA4" i="8" l="1"/>
  <c r="GB4" i="8" l="1"/>
  <c r="GC4" i="8" l="1"/>
  <c r="GD4" i="8" l="1"/>
  <c r="GE4" i="8" l="1"/>
  <c r="GF4" i="8" l="1"/>
  <c r="GG4" i="8" l="1"/>
  <c r="GH4" i="8" l="1"/>
  <c r="GI4" i="8" l="1"/>
  <c r="GJ4" i="8" l="1"/>
  <c r="GK4" i="8" l="1"/>
  <c r="GL4" i="8" l="1"/>
  <c r="GM4" i="8" l="1"/>
  <c r="GN4" i="8" l="1"/>
  <c r="GO4" i="8" l="1"/>
  <c r="GP4" i="8" l="1"/>
  <c r="GQ4" i="8" l="1"/>
  <c r="GR4" i="8" l="1"/>
  <c r="GS4" i="8" l="1"/>
  <c r="GT4" i="8" l="1"/>
  <c r="GU4" i="8" l="1"/>
  <c r="GV4" i="8" l="1"/>
  <c r="GW4" i="8" l="1"/>
  <c r="GX4" i="8" l="1"/>
  <c r="GY4" i="8" l="1"/>
  <c r="GZ4" i="8" l="1"/>
  <c r="HA4" i="8" l="1"/>
  <c r="HB4" i="8" l="1"/>
  <c r="HC4" i="8" l="1"/>
  <c r="HD4" i="8" l="1"/>
  <c r="HE4" i="8" l="1"/>
  <c r="HF4" i="8" l="1"/>
  <c r="HG4" i="8" l="1"/>
  <c r="HH4" i="8" l="1"/>
  <c r="HI4" i="8" l="1"/>
  <c r="HJ4" i="8" l="1"/>
  <c r="HK4" i="8" l="1"/>
  <c r="HL4" i="8" l="1"/>
  <c r="HM4" i="8" l="1"/>
  <c r="HN4" i="8" l="1"/>
  <c r="HO4" i="8" l="1"/>
  <c r="HP4" i="8" l="1"/>
  <c r="HQ4" i="8" l="1"/>
  <c r="HR4" i="8" l="1"/>
  <c r="HS4" i="8" l="1"/>
  <c r="HT4" i="8" l="1"/>
  <c r="HU4" i="8" l="1"/>
  <c r="HV4" i="8" l="1"/>
  <c r="HW4" i="8" l="1"/>
  <c r="HX4" i="8" l="1"/>
  <c r="HY4" i="8" l="1"/>
  <c r="HZ4" i="8" l="1"/>
  <c r="IA4" i="8" l="1"/>
  <c r="IB4" i="8" l="1"/>
  <c r="IC4" i="8" l="1"/>
  <c r="ID4" i="8" l="1"/>
  <c r="IE4" i="8" l="1"/>
  <c r="IF4" i="8" l="1"/>
  <c r="IG4" i="8" l="1"/>
  <c r="IH4" i="8" l="1"/>
  <c r="II4" i="8" l="1"/>
  <c r="IJ4" i="8" l="1"/>
  <c r="IK4" i="8" l="1"/>
  <c r="IL4" i="8" l="1"/>
  <c r="IM4" i="8" l="1"/>
  <c r="IN4" i="8" l="1"/>
  <c r="IO4" i="8" l="1"/>
  <c r="IP4" i="8" l="1"/>
  <c r="IQ4" i="8" l="1"/>
  <c r="IR4" i="8" l="1"/>
  <c r="IS4" i="8" l="1"/>
  <c r="IT4" i="8" l="1"/>
  <c r="IU4" i="8" l="1"/>
  <c r="IV4" i="8" l="1"/>
  <c r="IW4" i="8" l="1"/>
  <c r="IX4" i="8" l="1"/>
  <c r="IY4" i="8" l="1"/>
  <c r="IZ4" i="8" l="1"/>
  <c r="JA4" i="8" l="1"/>
  <c r="JB4" i="8" l="1"/>
  <c r="JC4" i="8" l="1"/>
  <c r="JD4" i="8" l="1"/>
  <c r="JE4" i="8" l="1"/>
  <c r="JF4" i="8" l="1"/>
  <c r="JG4" i="8" l="1"/>
  <c r="JH4" i="8" l="1"/>
  <c r="JI4" i="8" l="1"/>
  <c r="JJ4" i="8" l="1"/>
  <c r="JK4" i="8" l="1"/>
  <c r="JL4" i="8" l="1"/>
  <c r="JM4" i="8" l="1"/>
  <c r="JN4" i="8" l="1"/>
  <c r="JO4" i="8" l="1"/>
  <c r="JP4" i="8" l="1"/>
  <c r="JQ4" i="8" l="1"/>
  <c r="JR4" i="8" l="1"/>
  <c r="JS4" i="8" l="1"/>
  <c r="JT4" i="8" l="1"/>
  <c r="JU4" i="8" l="1"/>
  <c r="JV4" i="8" l="1"/>
  <c r="JW4" i="8" l="1"/>
  <c r="JX4" i="8" l="1"/>
  <c r="JY4" i="8" l="1"/>
  <c r="JZ4" i="8" l="1"/>
  <c r="KA4" i="8" l="1"/>
  <c r="KB4" i="8" l="1"/>
  <c r="KC4" i="8" l="1"/>
  <c r="KD4" i="8" l="1"/>
  <c r="KE4" i="8" l="1"/>
  <c r="KF4" i="8" l="1"/>
  <c r="KG4" i="8" l="1"/>
  <c r="KH4" i="8" l="1"/>
  <c r="KI4" i="8" l="1"/>
  <c r="KJ4" i="8" l="1"/>
  <c r="KK4" i="8" l="1"/>
  <c r="KL4" i="8" l="1"/>
  <c r="KM4" i="8" l="1"/>
  <c r="KN4" i="8" l="1"/>
  <c r="KO4" i="8" l="1"/>
  <c r="KP4" i="8" l="1"/>
  <c r="KQ4" i="8" l="1"/>
  <c r="KR4" i="8" l="1"/>
  <c r="KS4" i="8" l="1"/>
  <c r="KT4" i="8" l="1"/>
  <c r="KU4" i="8" l="1"/>
  <c r="KV4" i="8" l="1"/>
  <c r="KW4" i="8" l="1"/>
  <c r="KX4" i="8" l="1"/>
  <c r="KY4" i="8" l="1"/>
  <c r="KZ4" i="8" l="1"/>
  <c r="LA4" i="8" l="1"/>
  <c r="LB4" i="8" l="1"/>
  <c r="LC4" i="8" l="1"/>
  <c r="LD4" i="8" l="1"/>
  <c r="LE4" i="8" l="1"/>
  <c r="LF4" i="8" l="1"/>
  <c r="LG4" i="8" l="1"/>
  <c r="LH4" i="8" l="1"/>
  <c r="LI4" i="8" l="1"/>
  <c r="LJ4" i="8" l="1"/>
  <c r="LK4" i="8" l="1"/>
  <c r="LL4" i="8" l="1"/>
  <c r="LM4" i="8" l="1"/>
  <c r="LN4" i="8" l="1"/>
  <c r="LO4" i="8" l="1"/>
  <c r="LP4" i="8" l="1"/>
  <c r="LQ4" i="8" l="1"/>
  <c r="LR4" i="8" l="1"/>
  <c r="LS4" i="8" l="1"/>
  <c r="LT4" i="8" l="1"/>
  <c r="LU4" i="8" l="1"/>
  <c r="LV4" i="8" l="1"/>
  <c r="LW4" i="8" l="1"/>
  <c r="LX4" i="8" l="1"/>
  <c r="LY4" i="8" l="1"/>
  <c r="LZ4" i="8" l="1"/>
  <c r="MA4" i="8" l="1"/>
  <c r="MB4" i="8" l="1"/>
  <c r="MC4" i="8" l="1"/>
  <c r="MD4" i="8" l="1"/>
  <c r="ME4" i="8" l="1"/>
  <c r="MF4" i="8" l="1"/>
  <c r="MG4" i="8" l="1"/>
  <c r="MH4" i="8" l="1"/>
  <c r="MI4" i="8" l="1"/>
  <c r="MJ4" i="8" l="1"/>
  <c r="MK4" i="8" l="1"/>
  <c r="ML4" i="8" l="1"/>
  <c r="MM4" i="8" l="1"/>
  <c r="MN4" i="8" l="1"/>
  <c r="MO4" i="8" l="1"/>
  <c r="MP4" i="8" l="1"/>
  <c r="MQ4" i="8" l="1"/>
  <c r="MR4" i="8" l="1"/>
  <c r="MS4" i="8" l="1"/>
  <c r="MT4" i="8" l="1"/>
  <c r="MU4" i="8" l="1"/>
  <c r="MV4" i="8" l="1"/>
  <c r="MW4" i="8" l="1"/>
  <c r="MX4" i="8" l="1"/>
  <c r="MY4" i="8" l="1"/>
  <c r="MZ4" i="8" l="1"/>
  <c r="NA4" i="8" l="1"/>
  <c r="NB4" i="8" l="1"/>
  <c r="NC4" i="8" l="1"/>
  <c r="ND4" i="8" l="1"/>
  <c r="NE4" i="8" l="1"/>
  <c r="NF4" i="8" l="1"/>
  <c r="NG4" i="8" l="1"/>
  <c r="NH4" i="8" l="1"/>
  <c r="NI4" i="8" l="1"/>
  <c r="NJ4" i="8" l="1"/>
  <c r="NK4" i="8" l="1"/>
  <c r="NL4" i="8" l="1"/>
  <c r="NM4" i="8" l="1"/>
  <c r="NN4" i="8" l="1"/>
  <c r="NO4" i="8" l="1"/>
  <c r="NP4" i="8" l="1"/>
  <c r="NQ4" i="8" l="1"/>
  <c r="NR4" i="8" l="1"/>
  <c r="NS4" i="8" l="1"/>
  <c r="NT4" i="8" l="1"/>
  <c r="NU4" i="8" l="1"/>
  <c r="NV4" i="8" l="1"/>
  <c r="NW4" i="8" l="1"/>
  <c r="NX4" i="8" l="1"/>
  <c r="NY4" i="8" l="1"/>
  <c r="NZ4" i="8" l="1"/>
  <c r="OA4" i="8" l="1"/>
  <c r="OB4" i="8" l="1"/>
  <c r="OC4" i="8" l="1"/>
  <c r="OD4" i="8" l="1"/>
  <c r="OE4" i="8" l="1"/>
  <c r="OF4" i="8" l="1"/>
  <c r="OG4" i="8" l="1"/>
  <c r="OH4" i="8" l="1"/>
  <c r="OI4" i="8" l="1"/>
  <c r="OJ4" i="8" l="1"/>
  <c r="OK4" i="8" l="1"/>
  <c r="OL4" i="8" l="1"/>
  <c r="OM4" i="8" l="1"/>
  <c r="ON4" i="8" l="1"/>
  <c r="OO4" i="8" l="1"/>
  <c r="OP4" i="8" l="1"/>
  <c r="OQ4" i="8" l="1"/>
  <c r="OR4" i="8" l="1"/>
  <c r="OS4" i="8" l="1"/>
  <c r="OT4" i="8" l="1"/>
  <c r="OU4" i="8" l="1"/>
  <c r="OV4" i="8" l="1"/>
  <c r="OW4" i="8" l="1"/>
  <c r="OX4" i="8" l="1"/>
  <c r="OY4" i="8" l="1"/>
  <c r="OZ4" i="8" l="1"/>
  <c r="PA4" i="8" l="1"/>
  <c r="PB4" i="8" l="1"/>
  <c r="PC4" i="8" l="1"/>
  <c r="PD4" i="8" l="1"/>
  <c r="PE4" i="8" l="1"/>
  <c r="PF4" i="8" l="1"/>
  <c r="PG4" i="8" l="1"/>
  <c r="PH4" i="8" l="1"/>
  <c r="PI4" i="8" l="1"/>
  <c r="PJ4" i="8" l="1"/>
  <c r="PK4" i="8" l="1"/>
  <c r="PL4" i="8" l="1"/>
</calcChain>
</file>

<file path=xl/sharedStrings.xml><?xml version="1.0" encoding="utf-8"?>
<sst xmlns="http://schemas.openxmlformats.org/spreadsheetml/2006/main" count="214" uniqueCount="44">
  <si>
    <t>Rectangle M</t>
  </si>
  <si>
    <t>BLACK</t>
  </si>
  <si>
    <t>CLASSIC HAVANA</t>
  </si>
  <si>
    <t>LINEN</t>
  </si>
  <si>
    <t>MERLOT</t>
  </si>
  <si>
    <t>Rectangle L</t>
  </si>
  <si>
    <t>Bold</t>
  </si>
  <si>
    <t>WOODLAND HAVANA</t>
  </si>
  <si>
    <t>RACING GREEN</t>
  </si>
  <si>
    <t>SANDSTORM</t>
  </si>
  <si>
    <t>Slim Oval</t>
  </si>
  <si>
    <t>DARK HAVANA</t>
  </si>
  <si>
    <t>Clear</t>
  </si>
  <si>
    <t xml:space="preserve">MP Frame Module </t>
  </si>
  <si>
    <t>MP</t>
  </si>
  <si>
    <t>Key Material CTB TTL</t>
    <phoneticPr fontId="7" type="noConversion"/>
  </si>
  <si>
    <t>Title</t>
    <phoneticPr fontId="7" type="noConversion"/>
  </si>
  <si>
    <t>Process</t>
    <phoneticPr fontId="7" type="noConversion"/>
  </si>
  <si>
    <t>Compoent</t>
    <phoneticPr fontId="7" type="noConversion"/>
  </si>
  <si>
    <t>CTB</t>
    <phoneticPr fontId="7" type="noConversion"/>
  </si>
  <si>
    <t>Hip</t>
    <phoneticPr fontId="7" type="noConversion"/>
  </si>
  <si>
    <t>FXN</t>
    <phoneticPr fontId="7" type="noConversion"/>
  </si>
  <si>
    <t>TTL</t>
    <phoneticPr fontId="7" type="noConversion"/>
  </si>
  <si>
    <t>Color</t>
    <phoneticPr fontId="7" type="noConversion"/>
  </si>
  <si>
    <t>CTB ETA Base, No offset</t>
    <phoneticPr fontId="7" type="noConversion"/>
  </si>
  <si>
    <t>Case</t>
    <phoneticPr fontId="7" type="noConversion"/>
  </si>
  <si>
    <t>Ivory</t>
  </si>
  <si>
    <t>Dummy&amp;Demo input plan</t>
    <phoneticPr fontId="7" type="noConversion"/>
  </si>
  <si>
    <t>Shadow</t>
  </si>
  <si>
    <t>Cateye</t>
  </si>
  <si>
    <t>Black Ice (translucent)</t>
  </si>
  <si>
    <t>Creme</t>
  </si>
  <si>
    <t>Sage</t>
  </si>
  <si>
    <t>Fall</t>
    <phoneticPr fontId="7" type="noConversion"/>
  </si>
  <si>
    <t>Black (low cost)</t>
  </si>
  <si>
    <t>C</t>
    <phoneticPr fontId="7" type="noConversion"/>
  </si>
  <si>
    <t>Spring</t>
    <phoneticPr fontId="7" type="noConversion"/>
  </si>
  <si>
    <t>Black Ice</t>
  </si>
  <si>
    <t>Aojie</t>
    <phoneticPr fontId="7" type="noConversion"/>
  </si>
  <si>
    <t>Hip+FXN</t>
    <phoneticPr fontId="7" type="noConversion"/>
  </si>
  <si>
    <t>Panthos M</t>
  </si>
  <si>
    <t>Panthos S</t>
  </si>
  <si>
    <t>0702v</t>
    <phoneticPr fontId="7" type="noConversion"/>
  </si>
  <si>
    <t>MP input plan：0709v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</si>
</sst>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dd"/>
    <numFmt numFmtId="177" formatCode="m/d;@"/>
    <numFmt numFmtId="178" formatCode="0_ "/>
  </numFmts>
  <fonts count="10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1"/>
      <name val="等线"/>
      <family val="2"/>
      <scheme val="minor"/>
    </font>
    <font>
      <b/>
      <sz val="11"/>
      <name val="等线"/>
      <family val="3"/>
      <charset val="134"/>
    </font>
    <font>
      <sz val="9"/>
      <name val="等线"/>
      <family val="2"/>
      <charset val="134"/>
      <scheme val="minor"/>
    </font>
    <font>
      <b/>
      <sz val="14"/>
      <color theme="0"/>
      <name val="等线"/>
      <family val="3"/>
      <charset val="134"/>
    </font>
    <font>
      <b/>
      <sz val="11"/>
      <color rgb="FF0000FF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1" fillId="0" borderId="0"/>
    <xf numFmtId="0" fontId="5" fillId="0" borderId="0"/>
  </cellStyleXfs>
  <cellXfs count="2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77" fontId="4" fillId="3" borderId="1" xfId="0" applyNumberFormat="1" applyFont="1" applyFill="1" applyBorder="1" applyAlignment="1">
      <alignment horizontal="left"/>
    </xf>
    <xf numFmtId="177" fontId="4" fillId="3" borderId="2" xfId="0" applyNumberFormat="1" applyFont="1" applyFill="1" applyBorder="1" applyAlignment="1">
      <alignment horizontal="left"/>
    </xf>
    <xf numFmtId="0" fontId="6" fillId="2" borderId="0" xfId="1" applyFont="1" applyFill="1" applyAlignment="1">
      <alignment vertical="center"/>
    </xf>
    <xf numFmtId="38" fontId="4" fillId="4" borderId="3" xfId="2" applyNumberFormat="1" applyFont="1" applyFill="1" applyBorder="1" applyAlignment="1">
      <alignment horizontal="left" vertical="center"/>
    </xf>
    <xf numFmtId="38" fontId="4" fillId="4" borderId="4" xfId="2" applyNumberFormat="1" applyFont="1" applyFill="1" applyBorder="1"/>
    <xf numFmtId="0" fontId="2" fillId="2" borderId="0" xfId="1" applyFont="1" applyFill="1" applyAlignment="1">
      <alignment vertical="center"/>
    </xf>
    <xf numFmtId="0" fontId="3" fillId="5" borderId="5" xfId="2" applyFont="1" applyFill="1" applyBorder="1" applyAlignment="1">
      <alignment horizontal="left"/>
    </xf>
    <xf numFmtId="178" fontId="3" fillId="5" borderId="5" xfId="2" applyNumberFormat="1" applyFont="1" applyFill="1" applyBorder="1" applyAlignment="1">
      <alignment horizontal="left"/>
    </xf>
    <xf numFmtId="177" fontId="4" fillId="3" borderId="6" xfId="0" applyNumberFormat="1" applyFont="1" applyFill="1" applyBorder="1" applyAlignment="1">
      <alignment horizontal="left"/>
    </xf>
    <xf numFmtId="3" fontId="3" fillId="5" borderId="7" xfId="2" applyNumberFormat="1" applyFont="1" applyFill="1" applyBorder="1"/>
    <xf numFmtId="38" fontId="3" fillId="5" borderId="5" xfId="2" applyNumberFormat="1" applyFont="1" applyFill="1" applyBorder="1"/>
    <xf numFmtId="0" fontId="8" fillId="7" borderId="0" xfId="0" applyFont="1" applyFill="1">
      <alignment vertical="center"/>
    </xf>
    <xf numFmtId="0" fontId="9" fillId="0" borderId="0" xfId="0" applyFont="1">
      <alignment vertical="center"/>
    </xf>
    <xf numFmtId="0" fontId="2" fillId="6" borderId="0" xfId="1" applyFont="1" applyFill="1" applyAlignment="1">
      <alignment vertical="center"/>
    </xf>
    <xf numFmtId="14" fontId="9" fillId="0" borderId="0" xfId="0" applyNumberFormat="1" applyFont="1">
      <alignment vertical="center"/>
    </xf>
  </cellXfs>
  <cellStyles count="4">
    <cellStyle name="常规" xfId="0" builtinId="0"/>
    <cellStyle name="常规 2" xfId="3" xr:uid="{1519E23A-2D11-47F3-AEC7-6E8F7FE54DE3}"/>
    <cellStyle name="常规 3" xfId="1" xr:uid="{7B9FE360-9D45-C54C-B9C5-3845AB2F202F}"/>
    <cellStyle name="常规 4" xfId="2" xr:uid="{F95A16C0-2B70-B44B-B919-DED5AA18A865}"/>
  </cellStyles>
  <dxfs count="5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7097-A1D1-4E8E-A7E7-0DB2B9245094}">
  <dimension ref="A1:PL37"/>
  <sheetViews>
    <sheetView showGridLines="0" tabSelected="1" zoomScaleNormal="100" workbookViewId="0">
      <pane xSplit="9" ySplit="3" topLeftCell="FM4" activePane="bottomRight" state="frozen"/>
      <selection activeCell="G146" sqref="G146"/>
      <selection pane="topRight" activeCell="G146" sqref="G146"/>
      <selection pane="bottomLeft" activeCell="G146" sqref="G146"/>
      <selection pane="bottomRight" activeCell="IL16" sqref="IL16"/>
    </sheetView>
  </sheetViews>
  <sheetFormatPr baseColWidth="10" defaultColWidth="7.83203125" defaultRowHeight="15" outlineLevelRow="1" outlineLevelCol="1"/>
  <cols>
    <col min="1" max="1" width="7.1640625" style="1" hidden="1" customWidth="1" outlineLevel="1"/>
    <col min="2" max="3" width="8.83203125" style="1" hidden="1" customWidth="1" outlineLevel="1"/>
    <col min="4" max="4" width="7" style="1" customWidth="1" collapsed="1"/>
    <col min="5" max="5" width="13" style="2" customWidth="1"/>
    <col min="6" max="6" width="22.1640625" style="2" customWidth="1"/>
    <col min="7" max="7" width="20.33203125" style="2" bestFit="1" customWidth="1"/>
    <col min="8" max="8" width="16.83203125" style="2" hidden="1" customWidth="1"/>
    <col min="9" max="9" width="13.5" style="2" hidden="1" customWidth="1"/>
    <col min="10" max="10" width="9.5" style="2" hidden="1" customWidth="1" outlineLevel="1"/>
    <col min="11" max="14" width="6.5" style="2" hidden="1" customWidth="1" outlineLevel="1"/>
    <col min="15" max="15" width="6.5" style="2" hidden="1" customWidth="1" collapsed="1"/>
    <col min="16" max="17" width="6.5" style="2" hidden="1" customWidth="1" outlineLevel="1"/>
    <col min="18" max="21" width="7.5" style="2" hidden="1" customWidth="1" outlineLevel="1"/>
    <col min="22" max="22" width="7.5" style="2" hidden="1" customWidth="1" collapsed="1"/>
    <col min="23" max="28" width="7.5" style="3" hidden="1" customWidth="1" outlineLevel="1"/>
    <col min="29" max="29" width="7.5" style="3" hidden="1" customWidth="1" collapsed="1"/>
    <col min="30" max="35" width="7.5" style="3" hidden="1" customWidth="1" outlineLevel="1"/>
    <col min="36" max="36" width="7.5" style="3" hidden="1" customWidth="1" collapsed="1"/>
    <col min="37" max="42" width="6.5" style="3" hidden="1" customWidth="1" outlineLevel="1"/>
    <col min="43" max="43" width="6.5" style="3" hidden="1" customWidth="1" collapsed="1"/>
    <col min="44" max="45" width="6.5" style="3" hidden="1" customWidth="1" outlineLevel="1"/>
    <col min="46" max="49" width="7.5" style="3" hidden="1" customWidth="1" outlineLevel="1"/>
    <col min="50" max="50" width="9.1640625" style="3" hidden="1" customWidth="1" collapsed="1"/>
    <col min="51" max="56" width="8.1640625" style="3" hidden="1" customWidth="1" outlineLevel="1"/>
    <col min="57" max="57" width="9.1640625" style="3" hidden="1" customWidth="1" collapsed="1"/>
    <col min="58" max="63" width="8.1640625" style="3" hidden="1" customWidth="1" outlineLevel="1"/>
    <col min="64" max="64" width="9.1640625" style="3" hidden="1" customWidth="1" collapsed="1"/>
    <col min="65" max="70" width="8.1640625" style="3" hidden="1" customWidth="1" outlineLevel="1"/>
    <col min="71" max="71" width="9.1640625" style="3" hidden="1" customWidth="1" collapsed="1"/>
    <col min="72" max="72" width="8.1640625" style="3" hidden="1" customWidth="1" outlineLevel="1"/>
    <col min="73" max="75" width="8.6640625" style="3" hidden="1" customWidth="1" outlineLevel="1"/>
    <col min="76" max="77" width="8.1640625" style="3" hidden="1" customWidth="1" outlineLevel="1"/>
    <col min="78" max="78" width="9.1640625" style="3" hidden="1" customWidth="1" collapsed="1"/>
    <col min="79" max="84" width="8.1640625" style="3" hidden="1" customWidth="1" outlineLevel="1"/>
    <col min="85" max="85" width="9.1640625" style="3" hidden="1" customWidth="1" collapsed="1"/>
    <col min="86" max="91" width="8.1640625" style="3" hidden="1" customWidth="1" outlineLevel="1"/>
    <col min="92" max="92" width="9.1640625" style="3" hidden="1" customWidth="1" collapsed="1"/>
    <col min="93" max="98" width="8.1640625" style="3" hidden="1" customWidth="1" outlineLevel="1"/>
    <col min="99" max="99" width="9.1640625" style="3" hidden="1" customWidth="1" collapsed="1"/>
    <col min="100" max="100" width="8.1640625" style="3" hidden="1" customWidth="1" outlineLevel="1"/>
    <col min="101" max="103" width="8.5" style="3" hidden="1" customWidth="1" outlineLevel="1"/>
    <col min="104" max="105" width="9" style="3" hidden="1" customWidth="1" outlineLevel="1"/>
    <col min="106" max="106" width="11" style="3" hidden="1" customWidth="1" collapsed="1"/>
    <col min="107" max="110" width="11.6640625" style="3" hidden="1" customWidth="1" outlineLevel="1"/>
    <col min="111" max="112" width="9" style="3" hidden="1" customWidth="1" outlineLevel="1"/>
    <col min="113" max="113" width="9.1640625" style="3" hidden="1" customWidth="1" collapsed="1"/>
    <col min="114" max="119" width="9" style="3" hidden="1" customWidth="1" outlineLevel="1"/>
    <col min="120" max="120" width="9.33203125" style="3" hidden="1" customWidth="1" collapsed="1"/>
    <col min="121" max="124" width="9.1640625" style="3" hidden="1" customWidth="1" outlineLevel="1"/>
    <col min="125" max="126" width="13.6640625" style="3" hidden="1" customWidth="1" outlineLevel="1"/>
    <col min="127" max="127" width="13.83203125" style="3" hidden="1" customWidth="1" collapsed="1"/>
    <col min="128" max="128" width="13.6640625" style="3" hidden="1" customWidth="1" outlineLevel="1"/>
    <col min="129" max="133" width="11.6640625" style="3" hidden="1" customWidth="1" outlineLevel="1"/>
    <col min="134" max="134" width="13.83203125" style="3" hidden="1" customWidth="1" collapsed="1"/>
    <col min="135" max="136" width="14" style="3" hidden="1" customWidth="1" outlineLevel="1"/>
    <col min="137" max="137" width="13.6640625" style="3" hidden="1" customWidth="1" outlineLevel="1"/>
    <col min="138" max="138" width="11.6640625" style="3" hidden="1" customWidth="1" outlineLevel="1"/>
    <col min="139" max="139" width="9.5" style="3" hidden="1" customWidth="1" outlineLevel="1"/>
    <col min="140" max="140" width="11.6640625" style="3" hidden="1" customWidth="1" outlineLevel="1"/>
    <col min="141" max="141" width="11.83203125" style="3" hidden="1" customWidth="1" collapsed="1"/>
    <col min="142" max="142" width="11.6640625" style="3" hidden="1" customWidth="1" outlineLevel="1"/>
    <col min="143" max="147" width="11.5" style="3" hidden="1" customWidth="1" outlineLevel="1"/>
    <col min="148" max="148" width="11.5" style="3" hidden="1" customWidth="1" collapsed="1"/>
    <col min="149" max="154" width="9.5" style="3" hidden="1" customWidth="1" outlineLevel="1"/>
    <col min="155" max="155" width="11.83203125" style="3" hidden="1" customWidth="1" collapsed="1"/>
    <col min="156" max="157" width="11.6640625" style="3" hidden="1" customWidth="1" outlineLevel="1"/>
    <col min="158" max="161" width="13.6640625" style="3" hidden="1" customWidth="1" outlineLevel="1"/>
    <col min="162" max="162" width="13.83203125" style="3" hidden="1" customWidth="1" collapsed="1"/>
    <col min="163" max="168" width="13.6640625" style="3" hidden="1" customWidth="1" outlineLevel="1"/>
    <col min="169" max="169" width="13.83203125" style="3" customWidth="1" collapsed="1"/>
    <col min="170" max="175" width="13.6640625" style="3" hidden="1" customWidth="1" outlineLevel="1"/>
    <col min="176" max="176" width="13.83203125" style="3" bestFit="1" customWidth="1" collapsed="1"/>
    <col min="177" max="182" width="13.6640625" style="3" hidden="1" customWidth="1" outlineLevel="1"/>
    <col min="183" max="183" width="13.83203125" style="3" bestFit="1" customWidth="1" collapsed="1"/>
    <col min="184" max="189" width="13.6640625" style="3" hidden="1" customWidth="1" outlineLevel="1"/>
    <col min="190" max="190" width="13.83203125" style="3" bestFit="1" customWidth="1" collapsed="1"/>
    <col min="191" max="196" width="13.6640625" style="3" hidden="1" customWidth="1" outlineLevel="1"/>
    <col min="197" max="197" width="13.83203125" style="3" bestFit="1" customWidth="1" collapsed="1"/>
    <col min="198" max="203" width="13.6640625" style="3" hidden="1" customWidth="1" outlineLevel="1"/>
    <col min="204" max="204" width="13.83203125" style="3" bestFit="1" customWidth="1" collapsed="1"/>
    <col min="205" max="210" width="13.6640625" style="3" hidden="1" customWidth="1" outlineLevel="1"/>
    <col min="211" max="211" width="13.83203125" style="3" bestFit="1" customWidth="1" collapsed="1"/>
    <col min="212" max="212" width="13.6640625" style="3" hidden="1" customWidth="1" outlineLevel="1"/>
    <col min="213" max="214" width="9.5" style="3" hidden="1" customWidth="1" outlineLevel="1"/>
    <col min="215" max="217" width="10" style="3" hidden="1" customWidth="1" outlineLevel="1"/>
    <col min="218" max="218" width="9.5" style="3" customWidth="1" collapsed="1"/>
    <col min="219" max="220" width="9.5" style="3" hidden="1" customWidth="1" outlineLevel="1"/>
    <col min="221" max="224" width="11.5" style="3" hidden="1" customWidth="1" outlineLevel="1"/>
    <col min="225" max="225" width="12.33203125" style="3" bestFit="1" customWidth="1" collapsed="1"/>
    <col min="226" max="231" width="11.5" style="3" hidden="1" customWidth="1" outlineLevel="1"/>
    <col min="232" max="232" width="12.33203125" style="3" bestFit="1" customWidth="1" collapsed="1"/>
    <col min="233" max="238" width="11.5" style="3" hidden="1" customWidth="1" outlineLevel="1"/>
    <col min="239" max="239" width="12.33203125" style="3" bestFit="1" customWidth="1" collapsed="1"/>
    <col min="240" max="245" width="11.5" style="3" hidden="1" customWidth="1" outlineLevel="1"/>
    <col min="246" max="246" width="12.33203125" style="3" bestFit="1" customWidth="1" collapsed="1"/>
    <col min="247" max="252" width="11.5" style="3" hidden="1" customWidth="1" outlineLevel="1"/>
    <col min="253" max="253" width="12.33203125" style="3" bestFit="1" customWidth="1" collapsed="1"/>
    <col min="254" max="259" width="11.5" style="3" hidden="1" customWidth="1" outlineLevel="1"/>
    <col min="260" max="260" width="12.33203125" style="3" bestFit="1" customWidth="1" collapsed="1"/>
    <col min="261" max="266" width="11.5" style="3" hidden="1" customWidth="1" outlineLevel="1"/>
    <col min="267" max="267" width="12.33203125" style="3" bestFit="1" customWidth="1" collapsed="1"/>
    <col min="268" max="273" width="11.5" style="3" hidden="1" customWidth="1" outlineLevel="1"/>
    <col min="274" max="274" width="12.33203125" style="3" bestFit="1" customWidth="1" collapsed="1"/>
    <col min="275" max="280" width="11.5" style="3" hidden="1" customWidth="1" outlineLevel="1"/>
    <col min="281" max="281" width="12.33203125" style="3" bestFit="1" customWidth="1" collapsed="1"/>
    <col min="282" max="287" width="11.5" style="3" hidden="1" customWidth="1" outlineLevel="1"/>
    <col min="288" max="288" width="12.33203125" style="3" bestFit="1" customWidth="1" collapsed="1"/>
    <col min="289" max="294" width="11.5" style="3" hidden="1" customWidth="1" outlineLevel="1"/>
    <col min="295" max="295" width="12.33203125" style="3" bestFit="1" customWidth="1" collapsed="1"/>
    <col min="296" max="301" width="11.5" style="3" hidden="1" customWidth="1" outlineLevel="1"/>
    <col min="302" max="302" width="12.33203125" style="3" bestFit="1" customWidth="1" collapsed="1"/>
    <col min="303" max="308" width="11.5" style="3" hidden="1" customWidth="1" outlineLevel="1"/>
    <col min="309" max="309" width="12.33203125" style="3" bestFit="1" customWidth="1" collapsed="1"/>
    <col min="310" max="315" width="11.5" style="3" hidden="1" customWidth="1" outlineLevel="1"/>
    <col min="316" max="316" width="12.33203125" style="3" bestFit="1" customWidth="1" collapsed="1"/>
    <col min="317" max="322" width="11.5" style="3" hidden="1" customWidth="1" outlineLevel="1"/>
    <col min="323" max="323" width="12.33203125" style="3" bestFit="1" customWidth="1" collapsed="1"/>
    <col min="324" max="329" width="11.5" style="3" hidden="1" customWidth="1" outlineLevel="1"/>
    <col min="330" max="330" width="12.33203125" style="3" bestFit="1" customWidth="1" collapsed="1"/>
    <col min="331" max="336" width="11.5" style="3" hidden="1" customWidth="1" outlineLevel="1"/>
    <col min="337" max="337" width="12.33203125" style="3" bestFit="1" customWidth="1" collapsed="1"/>
    <col min="338" max="343" width="11.5" style="3" hidden="1" customWidth="1" outlineLevel="1"/>
    <col min="344" max="344" width="12.33203125" style="3" bestFit="1" customWidth="1" collapsed="1"/>
    <col min="345" max="350" width="11.5" style="3" hidden="1" customWidth="1" outlineLevel="1"/>
    <col min="351" max="351" width="12.33203125" style="3" bestFit="1" customWidth="1" collapsed="1"/>
    <col min="352" max="357" width="11.5" style="3" hidden="1" customWidth="1" outlineLevel="1"/>
    <col min="358" max="358" width="12.33203125" style="3" bestFit="1" customWidth="1" collapsed="1"/>
    <col min="359" max="364" width="11.5" style="3" hidden="1" customWidth="1" outlineLevel="1"/>
    <col min="365" max="365" width="12.33203125" style="3" bestFit="1" customWidth="1" collapsed="1"/>
    <col min="366" max="371" width="11.5" style="3" hidden="1" customWidth="1" outlineLevel="1"/>
    <col min="372" max="372" width="12.33203125" style="3" bestFit="1" customWidth="1" collapsed="1"/>
    <col min="373" max="378" width="11.5" style="3" hidden="1" customWidth="1" outlineLevel="1"/>
    <col min="379" max="379" width="12.33203125" style="3" bestFit="1" customWidth="1" collapsed="1"/>
    <col min="380" max="385" width="11.5" style="3" hidden="1" customWidth="1" outlineLevel="1"/>
    <col min="386" max="386" width="12.33203125" style="3" bestFit="1" customWidth="1" collapsed="1"/>
    <col min="387" max="392" width="11.5" style="3" hidden="1" customWidth="1" outlineLevel="1"/>
    <col min="393" max="393" width="12.33203125" style="3" bestFit="1" customWidth="1" collapsed="1"/>
    <col min="394" max="399" width="11.5" style="3" hidden="1" customWidth="1" outlineLevel="1"/>
    <col min="400" max="400" width="12.33203125" style="3" bestFit="1" customWidth="1" collapsed="1"/>
    <col min="401" max="406" width="11.5" style="3" hidden="1" customWidth="1" outlineLevel="1"/>
    <col min="407" max="407" width="12.33203125" style="3" bestFit="1" customWidth="1" collapsed="1"/>
    <col min="408" max="413" width="11.5" style="3" hidden="1" customWidth="1" outlineLevel="1"/>
    <col min="414" max="414" width="12.33203125" style="3" bestFit="1" customWidth="1" collapsed="1"/>
    <col min="415" max="420" width="11.5" style="3" hidden="1" customWidth="1" outlineLevel="1"/>
    <col min="421" max="421" width="12.33203125" style="3" bestFit="1" customWidth="1" collapsed="1"/>
    <col min="422" max="427" width="11.5" style="3" hidden="1" customWidth="1" outlineLevel="1"/>
    <col min="428" max="428" width="12.33203125" style="3" bestFit="1" customWidth="1" collapsed="1"/>
    <col min="429" max="429" width="11" style="1" customWidth="1"/>
    <col min="430" max="16384" width="7.83203125" style="1"/>
  </cols>
  <sheetData>
    <row r="1" spans="1:428" ht="18">
      <c r="A1" s="18" t="s">
        <v>24</v>
      </c>
      <c r="E1" s="19" t="s">
        <v>43</v>
      </c>
      <c r="F1" s="19"/>
      <c r="G1" s="19" t="s">
        <v>27</v>
      </c>
      <c r="H1" s="21" t="s">
        <v>42</v>
      </c>
      <c r="J1" s="3" t="str">
        <f t="shared" ref="J1:BU1" si="0">TEXT(J3,"mmm")</f>
        <v>Feb</v>
      </c>
      <c r="K1" s="3" t="str">
        <f t="shared" si="0"/>
        <v>Feb</v>
      </c>
      <c r="L1" s="3" t="str">
        <f t="shared" si="0"/>
        <v>Feb</v>
      </c>
      <c r="M1" s="3" t="str">
        <f t="shared" si="0"/>
        <v>Feb</v>
      </c>
      <c r="N1" s="3" t="str">
        <f t="shared" si="0"/>
        <v>Feb</v>
      </c>
      <c r="O1" s="3" t="str">
        <f t="shared" si="0"/>
        <v>Feb</v>
      </c>
      <c r="P1" s="3" t="str">
        <f t="shared" si="0"/>
        <v>Feb</v>
      </c>
      <c r="Q1" s="3" t="str">
        <f t="shared" si="0"/>
        <v>Feb</v>
      </c>
      <c r="R1" s="3" t="str">
        <f t="shared" si="0"/>
        <v>Feb</v>
      </c>
      <c r="S1" s="3" t="str">
        <f t="shared" si="0"/>
        <v>Feb</v>
      </c>
      <c r="T1" s="3" t="str">
        <f t="shared" si="0"/>
        <v>Feb</v>
      </c>
      <c r="U1" s="3" t="str">
        <f t="shared" si="0"/>
        <v>Feb</v>
      </c>
      <c r="V1" s="3" t="str">
        <f t="shared" si="0"/>
        <v>Feb</v>
      </c>
      <c r="W1" s="3" t="str">
        <f t="shared" si="0"/>
        <v>Feb</v>
      </c>
      <c r="X1" s="3" t="str">
        <f t="shared" si="0"/>
        <v>Feb</v>
      </c>
      <c r="Y1" s="3" t="str">
        <f t="shared" si="0"/>
        <v>Feb</v>
      </c>
      <c r="Z1" s="3" t="str">
        <f t="shared" si="0"/>
        <v>Feb</v>
      </c>
      <c r="AA1" s="3" t="str">
        <f t="shared" si="0"/>
        <v>Feb</v>
      </c>
      <c r="AB1" s="3" t="str">
        <f t="shared" si="0"/>
        <v>Feb</v>
      </c>
      <c r="AC1" s="3" t="str">
        <f t="shared" si="0"/>
        <v>Feb</v>
      </c>
      <c r="AD1" s="3" t="str">
        <f t="shared" si="0"/>
        <v>Feb</v>
      </c>
      <c r="AE1" s="3" t="str">
        <f t="shared" si="0"/>
        <v>Feb</v>
      </c>
      <c r="AF1" s="3" t="str">
        <f t="shared" si="0"/>
        <v>Feb</v>
      </c>
      <c r="AG1" s="3" t="str">
        <f t="shared" si="0"/>
        <v>Feb</v>
      </c>
      <c r="AH1" s="3" t="str">
        <f t="shared" si="0"/>
        <v>Feb</v>
      </c>
      <c r="AI1" s="3" t="str">
        <f t="shared" si="0"/>
        <v>Feb</v>
      </c>
      <c r="AJ1" s="3" t="str">
        <f t="shared" si="0"/>
        <v>Feb</v>
      </c>
      <c r="AK1" s="3" t="str">
        <f t="shared" si="0"/>
        <v>Mar</v>
      </c>
      <c r="AL1" s="3" t="str">
        <f t="shared" si="0"/>
        <v>Mar</v>
      </c>
      <c r="AM1" s="3" t="str">
        <f t="shared" si="0"/>
        <v>Mar</v>
      </c>
      <c r="AN1" s="3" t="str">
        <f t="shared" si="0"/>
        <v>Mar</v>
      </c>
      <c r="AO1" s="3" t="str">
        <f t="shared" si="0"/>
        <v>Mar</v>
      </c>
      <c r="AP1" s="3" t="str">
        <f t="shared" si="0"/>
        <v>Mar</v>
      </c>
      <c r="AQ1" s="3" t="str">
        <f t="shared" si="0"/>
        <v>Mar</v>
      </c>
      <c r="AR1" s="3" t="str">
        <f t="shared" si="0"/>
        <v>Mar</v>
      </c>
      <c r="AS1" s="3" t="str">
        <f t="shared" si="0"/>
        <v>Mar</v>
      </c>
      <c r="AT1" s="3" t="str">
        <f t="shared" si="0"/>
        <v>Mar</v>
      </c>
      <c r="AU1" s="3" t="str">
        <f t="shared" si="0"/>
        <v>Mar</v>
      </c>
      <c r="AV1" s="3" t="str">
        <f t="shared" si="0"/>
        <v>Mar</v>
      </c>
      <c r="AW1" s="3" t="str">
        <f t="shared" si="0"/>
        <v>Mar</v>
      </c>
      <c r="AX1" s="3" t="str">
        <f t="shared" si="0"/>
        <v>Mar</v>
      </c>
      <c r="AY1" s="3" t="str">
        <f t="shared" si="0"/>
        <v>Mar</v>
      </c>
      <c r="AZ1" s="3" t="str">
        <f t="shared" si="0"/>
        <v>Mar</v>
      </c>
      <c r="BA1" s="3" t="str">
        <f t="shared" si="0"/>
        <v>Mar</v>
      </c>
      <c r="BB1" s="3" t="str">
        <f t="shared" si="0"/>
        <v>Mar</v>
      </c>
      <c r="BC1" s="3" t="str">
        <f t="shared" si="0"/>
        <v>Mar</v>
      </c>
      <c r="BD1" s="3" t="str">
        <f t="shared" si="0"/>
        <v>Mar</v>
      </c>
      <c r="BE1" s="3" t="str">
        <f t="shared" si="0"/>
        <v>Mar</v>
      </c>
      <c r="BF1" s="3" t="str">
        <f t="shared" si="0"/>
        <v>Mar</v>
      </c>
      <c r="BG1" s="3" t="str">
        <f t="shared" si="0"/>
        <v>Mar</v>
      </c>
      <c r="BH1" s="3" t="str">
        <f t="shared" si="0"/>
        <v>Mar</v>
      </c>
      <c r="BI1" s="3" t="str">
        <f t="shared" si="0"/>
        <v>Mar</v>
      </c>
      <c r="BJ1" s="3" t="str">
        <f t="shared" si="0"/>
        <v>Mar</v>
      </c>
      <c r="BK1" s="3" t="str">
        <f t="shared" si="0"/>
        <v>Mar</v>
      </c>
      <c r="BL1" s="3" t="str">
        <f t="shared" si="0"/>
        <v>Mar</v>
      </c>
      <c r="BM1" s="3" t="str">
        <f t="shared" si="0"/>
        <v>Mar</v>
      </c>
      <c r="BN1" s="3" t="str">
        <f t="shared" si="0"/>
        <v>Mar</v>
      </c>
      <c r="BO1" s="3" t="str">
        <f t="shared" si="0"/>
        <v>Mar</v>
      </c>
      <c r="BP1" s="3" t="str">
        <f t="shared" si="0"/>
        <v>Apr</v>
      </c>
      <c r="BQ1" s="3" t="str">
        <f t="shared" si="0"/>
        <v>Apr</v>
      </c>
      <c r="BR1" s="3" t="str">
        <f t="shared" si="0"/>
        <v>Apr</v>
      </c>
      <c r="BS1" s="3" t="str">
        <f t="shared" si="0"/>
        <v>Apr</v>
      </c>
      <c r="BT1" s="3" t="str">
        <f t="shared" si="0"/>
        <v>Apr</v>
      </c>
      <c r="BU1" s="3" t="str">
        <f t="shared" si="0"/>
        <v>Apr</v>
      </c>
      <c r="BV1" s="3" t="str">
        <f t="shared" ref="BV1:EG1" si="1">TEXT(BV3,"mmm")</f>
        <v>Apr</v>
      </c>
      <c r="BW1" s="3" t="str">
        <f t="shared" si="1"/>
        <v>Apr</v>
      </c>
      <c r="BX1" s="3" t="str">
        <f t="shared" si="1"/>
        <v>Apr</v>
      </c>
      <c r="BY1" s="3" t="str">
        <f t="shared" si="1"/>
        <v>Apr</v>
      </c>
      <c r="BZ1" s="3" t="str">
        <f t="shared" si="1"/>
        <v>Apr</v>
      </c>
      <c r="CA1" s="3" t="str">
        <f t="shared" si="1"/>
        <v>Apr</v>
      </c>
      <c r="CB1" s="3" t="str">
        <f t="shared" si="1"/>
        <v>Apr</v>
      </c>
      <c r="CC1" s="3" t="str">
        <f t="shared" si="1"/>
        <v>Apr</v>
      </c>
      <c r="CD1" s="3" t="str">
        <f t="shared" si="1"/>
        <v>Apr</v>
      </c>
      <c r="CE1" s="3" t="str">
        <f t="shared" si="1"/>
        <v>Apr</v>
      </c>
      <c r="CF1" s="3" t="str">
        <f t="shared" si="1"/>
        <v>Apr</v>
      </c>
      <c r="CG1" s="3" t="str">
        <f t="shared" si="1"/>
        <v>Apr</v>
      </c>
      <c r="CH1" s="3" t="str">
        <f t="shared" si="1"/>
        <v>Apr</v>
      </c>
      <c r="CI1" s="3" t="str">
        <f t="shared" si="1"/>
        <v>Apr</v>
      </c>
      <c r="CJ1" s="3" t="str">
        <f t="shared" si="1"/>
        <v>Apr</v>
      </c>
      <c r="CK1" s="3" t="str">
        <f t="shared" si="1"/>
        <v>Apr</v>
      </c>
      <c r="CL1" s="3" t="str">
        <f t="shared" si="1"/>
        <v>Apr</v>
      </c>
      <c r="CM1" s="3" t="str">
        <f t="shared" si="1"/>
        <v>Apr</v>
      </c>
      <c r="CN1" s="3" t="str">
        <f t="shared" si="1"/>
        <v>Apr</v>
      </c>
      <c r="CO1" s="3" t="str">
        <f t="shared" si="1"/>
        <v>Apr</v>
      </c>
      <c r="CP1" s="3" t="str">
        <f t="shared" si="1"/>
        <v>Apr</v>
      </c>
      <c r="CQ1" s="3" t="str">
        <f t="shared" si="1"/>
        <v>Apr</v>
      </c>
      <c r="CR1" s="3" t="str">
        <f t="shared" si="1"/>
        <v>Apr</v>
      </c>
      <c r="CS1" s="3" t="str">
        <f t="shared" si="1"/>
        <v>Apr</v>
      </c>
      <c r="CT1" s="3" t="str">
        <f t="shared" si="1"/>
        <v>May</v>
      </c>
      <c r="CU1" s="3" t="str">
        <f t="shared" si="1"/>
        <v>May</v>
      </c>
      <c r="CV1" s="3" t="str">
        <f t="shared" si="1"/>
        <v>May</v>
      </c>
      <c r="CW1" s="3" t="str">
        <f t="shared" si="1"/>
        <v>May</v>
      </c>
      <c r="CX1" s="3" t="str">
        <f t="shared" si="1"/>
        <v>May</v>
      </c>
      <c r="CY1" s="3" t="str">
        <f t="shared" si="1"/>
        <v>May</v>
      </c>
      <c r="CZ1" s="3" t="str">
        <f t="shared" si="1"/>
        <v>May</v>
      </c>
      <c r="DA1" s="3" t="str">
        <f t="shared" si="1"/>
        <v>May</v>
      </c>
      <c r="DB1" s="3" t="str">
        <f t="shared" si="1"/>
        <v>May</v>
      </c>
      <c r="DC1" s="3" t="str">
        <f t="shared" si="1"/>
        <v>May</v>
      </c>
      <c r="DD1" s="3" t="str">
        <f t="shared" si="1"/>
        <v>May</v>
      </c>
      <c r="DE1" s="3" t="str">
        <f t="shared" si="1"/>
        <v>May</v>
      </c>
      <c r="DF1" s="3" t="str">
        <f t="shared" si="1"/>
        <v>May</v>
      </c>
      <c r="DG1" s="3" t="str">
        <f t="shared" si="1"/>
        <v>May</v>
      </c>
      <c r="DH1" s="3" t="str">
        <f t="shared" si="1"/>
        <v>May</v>
      </c>
      <c r="DI1" s="3" t="str">
        <f t="shared" si="1"/>
        <v>May</v>
      </c>
      <c r="DJ1" s="3" t="str">
        <f t="shared" si="1"/>
        <v>May</v>
      </c>
      <c r="DK1" s="3" t="str">
        <f t="shared" si="1"/>
        <v>May</v>
      </c>
      <c r="DL1" s="3" t="str">
        <f t="shared" si="1"/>
        <v>May</v>
      </c>
      <c r="DM1" s="3" t="str">
        <f t="shared" si="1"/>
        <v>May</v>
      </c>
      <c r="DN1" s="3" t="str">
        <f t="shared" si="1"/>
        <v>May</v>
      </c>
      <c r="DO1" s="3" t="str">
        <f t="shared" si="1"/>
        <v>May</v>
      </c>
      <c r="DP1" s="3" t="str">
        <f t="shared" si="1"/>
        <v>May</v>
      </c>
      <c r="DQ1" s="3" t="str">
        <f t="shared" si="1"/>
        <v>May</v>
      </c>
      <c r="DR1" s="3" t="str">
        <f t="shared" si="1"/>
        <v>May</v>
      </c>
      <c r="DS1" s="3" t="str">
        <f t="shared" si="1"/>
        <v>May</v>
      </c>
      <c r="DT1" s="3" t="str">
        <f t="shared" si="1"/>
        <v>May</v>
      </c>
      <c r="DU1" s="3" t="str">
        <f t="shared" si="1"/>
        <v>May</v>
      </c>
      <c r="DV1" s="3" t="str">
        <f t="shared" si="1"/>
        <v>May</v>
      </c>
      <c r="DW1" s="3" t="str">
        <f t="shared" si="1"/>
        <v>May</v>
      </c>
      <c r="DX1" s="3" t="str">
        <f t="shared" si="1"/>
        <v>May</v>
      </c>
      <c r="DY1" s="3" t="str">
        <f t="shared" si="1"/>
        <v>Jun</v>
      </c>
      <c r="DZ1" s="3" t="str">
        <f t="shared" si="1"/>
        <v>Jun</v>
      </c>
      <c r="EA1" s="3" t="str">
        <f t="shared" si="1"/>
        <v>Jun</v>
      </c>
      <c r="EB1" s="3" t="str">
        <f t="shared" si="1"/>
        <v>Jun</v>
      </c>
      <c r="EC1" s="3" t="str">
        <f t="shared" si="1"/>
        <v>Jun</v>
      </c>
      <c r="ED1" s="3" t="str">
        <f t="shared" si="1"/>
        <v>Jun</v>
      </c>
      <c r="EE1" s="3" t="str">
        <f t="shared" si="1"/>
        <v>Jun</v>
      </c>
      <c r="EF1" s="3" t="str">
        <f t="shared" si="1"/>
        <v>Jun</v>
      </c>
      <c r="EG1" s="3" t="str">
        <f t="shared" si="1"/>
        <v>Jun</v>
      </c>
      <c r="EH1" s="3" t="str">
        <f t="shared" ref="EH1:GS1" si="2">TEXT(EH3,"mmm")</f>
        <v>Jun</v>
      </c>
      <c r="EI1" s="3" t="str">
        <f t="shared" si="2"/>
        <v>Jun</v>
      </c>
      <c r="EJ1" s="3" t="str">
        <f t="shared" si="2"/>
        <v>Jun</v>
      </c>
      <c r="EK1" s="3" t="str">
        <f t="shared" si="2"/>
        <v>Jun</v>
      </c>
      <c r="EL1" s="3" t="str">
        <f t="shared" si="2"/>
        <v>Jun</v>
      </c>
      <c r="EM1" s="3" t="str">
        <f t="shared" si="2"/>
        <v>Jun</v>
      </c>
      <c r="EN1" s="3" t="str">
        <f t="shared" si="2"/>
        <v>Jun</v>
      </c>
      <c r="EO1" s="3" t="str">
        <f t="shared" si="2"/>
        <v>Jun</v>
      </c>
      <c r="EP1" s="3" t="str">
        <f t="shared" si="2"/>
        <v>Jun</v>
      </c>
      <c r="EQ1" s="3" t="str">
        <f t="shared" si="2"/>
        <v>Jun</v>
      </c>
      <c r="ER1" s="3" t="str">
        <f t="shared" si="2"/>
        <v>Jun</v>
      </c>
      <c r="ES1" s="3" t="str">
        <f t="shared" si="2"/>
        <v>Jun</v>
      </c>
      <c r="ET1" s="3" t="str">
        <f t="shared" si="2"/>
        <v>Jun</v>
      </c>
      <c r="EU1" s="3" t="str">
        <f t="shared" si="2"/>
        <v>Jun</v>
      </c>
      <c r="EV1" s="3" t="str">
        <f t="shared" si="2"/>
        <v>Jun</v>
      </c>
      <c r="EW1" s="3" t="str">
        <f t="shared" si="2"/>
        <v>Jun</v>
      </c>
      <c r="EX1" s="3" t="str">
        <f t="shared" si="2"/>
        <v>Jun</v>
      </c>
      <c r="EY1" s="3" t="str">
        <f t="shared" si="2"/>
        <v>Jun</v>
      </c>
      <c r="EZ1" s="3" t="str">
        <f t="shared" si="2"/>
        <v>Jun</v>
      </c>
      <c r="FA1" s="3" t="str">
        <f t="shared" si="2"/>
        <v>Jun</v>
      </c>
      <c r="FB1" s="3" t="str">
        <f t="shared" si="2"/>
        <v>Jun</v>
      </c>
      <c r="FC1" s="3" t="str">
        <f t="shared" si="2"/>
        <v>Jul</v>
      </c>
      <c r="FD1" s="3" t="str">
        <f t="shared" si="2"/>
        <v>Jul</v>
      </c>
      <c r="FE1" s="3" t="str">
        <f t="shared" si="2"/>
        <v>Jul</v>
      </c>
      <c r="FF1" s="3" t="str">
        <f t="shared" si="2"/>
        <v>Jul</v>
      </c>
      <c r="FG1" s="3" t="str">
        <f t="shared" si="2"/>
        <v>Jul</v>
      </c>
      <c r="FH1" s="3" t="str">
        <f t="shared" si="2"/>
        <v>Jul</v>
      </c>
      <c r="FI1" s="3" t="str">
        <f t="shared" si="2"/>
        <v>Jul</v>
      </c>
      <c r="FJ1" s="3" t="str">
        <f t="shared" si="2"/>
        <v>Jul</v>
      </c>
      <c r="FK1" s="3" t="str">
        <f t="shared" si="2"/>
        <v>Jul</v>
      </c>
      <c r="FL1" s="3" t="str">
        <f t="shared" si="2"/>
        <v>Jul</v>
      </c>
      <c r="FM1" s="3" t="str">
        <f t="shared" si="2"/>
        <v>Jul</v>
      </c>
      <c r="FN1" s="3" t="str">
        <f t="shared" si="2"/>
        <v>Jul</v>
      </c>
      <c r="FO1" s="3" t="str">
        <f t="shared" si="2"/>
        <v>Jul</v>
      </c>
      <c r="FP1" s="3" t="str">
        <f t="shared" si="2"/>
        <v>Jul</v>
      </c>
      <c r="FQ1" s="3" t="str">
        <f t="shared" si="2"/>
        <v>Jul</v>
      </c>
      <c r="FR1" s="3" t="str">
        <f t="shared" si="2"/>
        <v>Jul</v>
      </c>
      <c r="FS1" s="3" t="str">
        <f t="shared" si="2"/>
        <v>Jul</v>
      </c>
      <c r="FT1" s="3" t="str">
        <f t="shared" si="2"/>
        <v>Jul</v>
      </c>
      <c r="FU1" s="3" t="str">
        <f t="shared" si="2"/>
        <v>Jul</v>
      </c>
      <c r="FV1" s="3" t="str">
        <f t="shared" si="2"/>
        <v>Jul</v>
      </c>
      <c r="FW1" s="3" t="str">
        <f t="shared" si="2"/>
        <v>Jul</v>
      </c>
      <c r="FX1" s="3" t="str">
        <f t="shared" si="2"/>
        <v>Jul</v>
      </c>
      <c r="FY1" s="3" t="str">
        <f t="shared" si="2"/>
        <v>Jul</v>
      </c>
      <c r="FZ1" s="3" t="str">
        <f t="shared" si="2"/>
        <v>Jul</v>
      </c>
      <c r="GA1" s="3" t="str">
        <f t="shared" si="2"/>
        <v>Jul</v>
      </c>
      <c r="GB1" s="3" t="str">
        <f t="shared" si="2"/>
        <v>Jul</v>
      </c>
      <c r="GC1" s="3" t="str">
        <f t="shared" si="2"/>
        <v>Jul</v>
      </c>
      <c r="GD1" s="3" t="str">
        <f t="shared" si="2"/>
        <v>Jul</v>
      </c>
      <c r="GE1" s="3" t="str">
        <f t="shared" si="2"/>
        <v>Jul</v>
      </c>
      <c r="GF1" s="3" t="str">
        <f t="shared" si="2"/>
        <v>Jul</v>
      </c>
      <c r="GG1" s="3" t="str">
        <f t="shared" si="2"/>
        <v>Jul</v>
      </c>
      <c r="GH1" s="3" t="str">
        <f t="shared" si="2"/>
        <v>Aug</v>
      </c>
      <c r="GI1" s="3" t="str">
        <f t="shared" si="2"/>
        <v>Aug</v>
      </c>
      <c r="GJ1" s="3" t="str">
        <f t="shared" si="2"/>
        <v>Aug</v>
      </c>
      <c r="GK1" s="3" t="str">
        <f t="shared" si="2"/>
        <v>Aug</v>
      </c>
      <c r="GL1" s="3" t="str">
        <f t="shared" si="2"/>
        <v>Aug</v>
      </c>
      <c r="GM1" s="3" t="str">
        <f t="shared" si="2"/>
        <v>Aug</v>
      </c>
      <c r="GN1" s="3" t="str">
        <f t="shared" si="2"/>
        <v>Aug</v>
      </c>
      <c r="GO1" s="3" t="str">
        <f t="shared" si="2"/>
        <v>Aug</v>
      </c>
      <c r="GP1" s="3" t="str">
        <f t="shared" si="2"/>
        <v>Aug</v>
      </c>
      <c r="GQ1" s="3" t="str">
        <f t="shared" si="2"/>
        <v>Aug</v>
      </c>
      <c r="GR1" s="3" t="str">
        <f t="shared" si="2"/>
        <v>Aug</v>
      </c>
      <c r="GS1" s="3" t="str">
        <f t="shared" si="2"/>
        <v>Aug</v>
      </c>
      <c r="GT1" s="3" t="str">
        <f t="shared" ref="GT1:JE1" si="3">TEXT(GT3,"mmm")</f>
        <v>Aug</v>
      </c>
      <c r="GU1" s="3" t="str">
        <f t="shared" si="3"/>
        <v>Aug</v>
      </c>
      <c r="GV1" s="3" t="str">
        <f t="shared" si="3"/>
        <v>Aug</v>
      </c>
      <c r="GW1" s="3" t="str">
        <f t="shared" si="3"/>
        <v>Aug</v>
      </c>
      <c r="GX1" s="3" t="str">
        <f t="shared" si="3"/>
        <v>Aug</v>
      </c>
      <c r="GY1" s="3" t="str">
        <f t="shared" si="3"/>
        <v>Aug</v>
      </c>
      <c r="GZ1" s="3" t="str">
        <f t="shared" si="3"/>
        <v>Aug</v>
      </c>
      <c r="HA1" s="3" t="str">
        <f t="shared" si="3"/>
        <v>Aug</v>
      </c>
      <c r="HB1" s="3" t="str">
        <f t="shared" si="3"/>
        <v>Aug</v>
      </c>
      <c r="HC1" s="3" t="str">
        <f t="shared" si="3"/>
        <v>Aug</v>
      </c>
      <c r="HD1" s="3" t="str">
        <f t="shared" si="3"/>
        <v>Aug</v>
      </c>
      <c r="HE1" s="3" t="str">
        <f t="shared" si="3"/>
        <v>Aug</v>
      </c>
      <c r="HF1" s="3" t="str">
        <f t="shared" si="3"/>
        <v>Aug</v>
      </c>
      <c r="HG1" s="3" t="str">
        <f t="shared" si="3"/>
        <v>Aug</v>
      </c>
      <c r="HH1" s="3" t="str">
        <f t="shared" si="3"/>
        <v>Aug</v>
      </c>
      <c r="HI1" s="3" t="str">
        <f t="shared" si="3"/>
        <v>Aug</v>
      </c>
      <c r="HJ1" s="3" t="str">
        <f t="shared" si="3"/>
        <v>Aug</v>
      </c>
      <c r="HK1" s="3" t="str">
        <f t="shared" si="3"/>
        <v>Aug</v>
      </c>
      <c r="HL1" s="3" t="str">
        <f t="shared" si="3"/>
        <v>Aug</v>
      </c>
      <c r="HM1" s="3" t="str">
        <f t="shared" si="3"/>
        <v>Sep</v>
      </c>
      <c r="HN1" s="3" t="str">
        <f t="shared" si="3"/>
        <v>Sep</v>
      </c>
      <c r="HO1" s="3" t="str">
        <f t="shared" si="3"/>
        <v>Sep</v>
      </c>
      <c r="HP1" s="3" t="str">
        <f t="shared" si="3"/>
        <v>Sep</v>
      </c>
      <c r="HQ1" s="3" t="str">
        <f t="shared" si="3"/>
        <v>Sep</v>
      </c>
      <c r="HR1" s="3" t="str">
        <f t="shared" si="3"/>
        <v>Sep</v>
      </c>
      <c r="HS1" s="3" t="str">
        <f t="shared" si="3"/>
        <v>Sep</v>
      </c>
      <c r="HT1" s="3" t="str">
        <f t="shared" si="3"/>
        <v>Sep</v>
      </c>
      <c r="HU1" s="3" t="str">
        <f t="shared" si="3"/>
        <v>Sep</v>
      </c>
      <c r="HV1" s="3" t="str">
        <f t="shared" si="3"/>
        <v>Sep</v>
      </c>
      <c r="HW1" s="3" t="str">
        <f t="shared" si="3"/>
        <v>Sep</v>
      </c>
      <c r="HX1" s="3" t="str">
        <f t="shared" si="3"/>
        <v>Sep</v>
      </c>
      <c r="HY1" s="3" t="str">
        <f t="shared" si="3"/>
        <v>Sep</v>
      </c>
      <c r="HZ1" s="3" t="str">
        <f t="shared" si="3"/>
        <v>Sep</v>
      </c>
      <c r="IA1" s="3" t="str">
        <f t="shared" si="3"/>
        <v>Sep</v>
      </c>
      <c r="IB1" s="3" t="str">
        <f t="shared" si="3"/>
        <v>Sep</v>
      </c>
      <c r="IC1" s="3" t="str">
        <f t="shared" si="3"/>
        <v>Sep</v>
      </c>
      <c r="ID1" s="3" t="str">
        <f t="shared" si="3"/>
        <v>Sep</v>
      </c>
      <c r="IE1" s="3" t="str">
        <f t="shared" si="3"/>
        <v>Sep</v>
      </c>
      <c r="IF1" s="3" t="str">
        <f t="shared" si="3"/>
        <v>Sep</v>
      </c>
      <c r="IG1" s="3" t="str">
        <f t="shared" si="3"/>
        <v>Sep</v>
      </c>
      <c r="IH1" s="3" t="str">
        <f t="shared" si="3"/>
        <v>Sep</v>
      </c>
      <c r="II1" s="3" t="str">
        <f t="shared" si="3"/>
        <v>Sep</v>
      </c>
      <c r="IJ1" s="3" t="str">
        <f t="shared" si="3"/>
        <v>Sep</v>
      </c>
      <c r="IK1" s="3" t="str">
        <f t="shared" si="3"/>
        <v>Sep</v>
      </c>
      <c r="IL1" s="3" t="str">
        <f t="shared" si="3"/>
        <v>Sep</v>
      </c>
      <c r="IM1" s="3" t="str">
        <f t="shared" si="3"/>
        <v>Sep</v>
      </c>
      <c r="IN1" s="3" t="str">
        <f t="shared" si="3"/>
        <v>Sep</v>
      </c>
      <c r="IO1" s="3" t="str">
        <f t="shared" si="3"/>
        <v>Sep</v>
      </c>
      <c r="IP1" s="3" t="str">
        <f t="shared" si="3"/>
        <v>Sep</v>
      </c>
      <c r="IQ1" s="3" t="str">
        <f t="shared" si="3"/>
        <v>Oct</v>
      </c>
      <c r="IR1" s="3" t="str">
        <f t="shared" si="3"/>
        <v>Oct</v>
      </c>
      <c r="IS1" s="3" t="str">
        <f t="shared" si="3"/>
        <v>Oct</v>
      </c>
      <c r="IT1" s="3" t="str">
        <f t="shared" si="3"/>
        <v>Oct</v>
      </c>
      <c r="IU1" s="3" t="str">
        <f t="shared" si="3"/>
        <v>Oct</v>
      </c>
      <c r="IV1" s="3" t="str">
        <f t="shared" si="3"/>
        <v>Oct</v>
      </c>
      <c r="IW1" s="3" t="str">
        <f t="shared" si="3"/>
        <v>Oct</v>
      </c>
      <c r="IX1" s="3" t="str">
        <f t="shared" si="3"/>
        <v>Oct</v>
      </c>
      <c r="IY1" s="3" t="str">
        <f t="shared" si="3"/>
        <v>Oct</v>
      </c>
      <c r="IZ1" s="3" t="str">
        <f t="shared" si="3"/>
        <v>Oct</v>
      </c>
      <c r="JA1" s="3" t="str">
        <f t="shared" si="3"/>
        <v>Oct</v>
      </c>
      <c r="JB1" s="3" t="str">
        <f t="shared" si="3"/>
        <v>Oct</v>
      </c>
      <c r="JC1" s="3" t="str">
        <f t="shared" si="3"/>
        <v>Oct</v>
      </c>
      <c r="JD1" s="3" t="str">
        <f t="shared" si="3"/>
        <v>Oct</v>
      </c>
      <c r="JE1" s="3" t="str">
        <f t="shared" si="3"/>
        <v>Oct</v>
      </c>
      <c r="JF1" s="3" t="str">
        <f t="shared" ref="JF1:LQ1" si="4">TEXT(JF3,"mmm")</f>
        <v>Oct</v>
      </c>
      <c r="JG1" s="3" t="str">
        <f t="shared" si="4"/>
        <v>Oct</v>
      </c>
      <c r="JH1" s="3" t="str">
        <f t="shared" si="4"/>
        <v>Oct</v>
      </c>
      <c r="JI1" s="3" t="str">
        <f t="shared" si="4"/>
        <v>Oct</v>
      </c>
      <c r="JJ1" s="3" t="str">
        <f t="shared" si="4"/>
        <v>Oct</v>
      </c>
      <c r="JK1" s="3" t="str">
        <f t="shared" si="4"/>
        <v>Oct</v>
      </c>
      <c r="JL1" s="3" t="str">
        <f t="shared" si="4"/>
        <v>Oct</v>
      </c>
      <c r="JM1" s="3" t="str">
        <f t="shared" si="4"/>
        <v>Oct</v>
      </c>
      <c r="JN1" s="3" t="str">
        <f t="shared" si="4"/>
        <v>Oct</v>
      </c>
      <c r="JO1" s="3" t="str">
        <f t="shared" si="4"/>
        <v>Oct</v>
      </c>
      <c r="JP1" s="3" t="str">
        <f t="shared" si="4"/>
        <v>Oct</v>
      </c>
      <c r="JQ1" s="3" t="str">
        <f t="shared" si="4"/>
        <v>Oct</v>
      </c>
      <c r="JR1" s="3" t="str">
        <f t="shared" si="4"/>
        <v>Oct</v>
      </c>
      <c r="JS1" s="3" t="str">
        <f t="shared" si="4"/>
        <v>Oct</v>
      </c>
      <c r="JT1" s="3" t="str">
        <f t="shared" si="4"/>
        <v>Oct</v>
      </c>
      <c r="JU1" s="3" t="str">
        <f t="shared" si="4"/>
        <v>Oct</v>
      </c>
      <c r="JV1" s="3" t="str">
        <f t="shared" si="4"/>
        <v>Nov</v>
      </c>
      <c r="JW1" s="3" t="str">
        <f t="shared" si="4"/>
        <v>Nov</v>
      </c>
      <c r="JX1" s="3" t="str">
        <f t="shared" si="4"/>
        <v>Nov</v>
      </c>
      <c r="JY1" s="3" t="str">
        <f t="shared" si="4"/>
        <v>Nov</v>
      </c>
      <c r="JZ1" s="3" t="str">
        <f t="shared" si="4"/>
        <v>Nov</v>
      </c>
      <c r="KA1" s="3" t="str">
        <f t="shared" si="4"/>
        <v>Nov</v>
      </c>
      <c r="KB1" s="3" t="str">
        <f t="shared" si="4"/>
        <v>Nov</v>
      </c>
      <c r="KC1" s="3" t="str">
        <f t="shared" si="4"/>
        <v>Nov</v>
      </c>
      <c r="KD1" s="3" t="str">
        <f t="shared" si="4"/>
        <v>Nov</v>
      </c>
      <c r="KE1" s="3" t="str">
        <f t="shared" si="4"/>
        <v>Nov</v>
      </c>
      <c r="KF1" s="3" t="str">
        <f t="shared" si="4"/>
        <v>Nov</v>
      </c>
      <c r="KG1" s="3" t="str">
        <f t="shared" si="4"/>
        <v>Nov</v>
      </c>
      <c r="KH1" s="3" t="str">
        <f t="shared" si="4"/>
        <v>Nov</v>
      </c>
      <c r="KI1" s="3" t="str">
        <f t="shared" si="4"/>
        <v>Nov</v>
      </c>
      <c r="KJ1" s="3" t="str">
        <f t="shared" si="4"/>
        <v>Nov</v>
      </c>
      <c r="KK1" s="3" t="str">
        <f t="shared" si="4"/>
        <v>Nov</v>
      </c>
      <c r="KL1" s="3" t="str">
        <f t="shared" si="4"/>
        <v>Nov</v>
      </c>
      <c r="KM1" s="3" t="str">
        <f t="shared" si="4"/>
        <v>Nov</v>
      </c>
      <c r="KN1" s="3" t="str">
        <f t="shared" si="4"/>
        <v>Nov</v>
      </c>
      <c r="KO1" s="3" t="str">
        <f t="shared" si="4"/>
        <v>Nov</v>
      </c>
      <c r="KP1" s="3" t="str">
        <f t="shared" si="4"/>
        <v>Nov</v>
      </c>
      <c r="KQ1" s="3" t="str">
        <f t="shared" si="4"/>
        <v>Nov</v>
      </c>
      <c r="KR1" s="3" t="str">
        <f t="shared" si="4"/>
        <v>Nov</v>
      </c>
      <c r="KS1" s="3" t="str">
        <f t="shared" si="4"/>
        <v>Nov</v>
      </c>
      <c r="KT1" s="3" t="str">
        <f t="shared" si="4"/>
        <v>Nov</v>
      </c>
      <c r="KU1" s="3" t="str">
        <f t="shared" si="4"/>
        <v>Nov</v>
      </c>
      <c r="KV1" s="3" t="str">
        <f t="shared" si="4"/>
        <v>Nov</v>
      </c>
      <c r="KW1" s="3" t="str">
        <f t="shared" si="4"/>
        <v>Nov</v>
      </c>
      <c r="KX1" s="3" t="str">
        <f t="shared" si="4"/>
        <v>Nov</v>
      </c>
      <c r="KY1" s="3" t="str">
        <f t="shared" si="4"/>
        <v>Nov</v>
      </c>
      <c r="KZ1" s="3" t="str">
        <f t="shared" si="4"/>
        <v>Dec</v>
      </c>
      <c r="LA1" s="3" t="str">
        <f t="shared" si="4"/>
        <v>Dec</v>
      </c>
      <c r="LB1" s="3" t="str">
        <f t="shared" si="4"/>
        <v>Dec</v>
      </c>
      <c r="LC1" s="3" t="str">
        <f t="shared" si="4"/>
        <v>Dec</v>
      </c>
      <c r="LD1" s="3" t="str">
        <f t="shared" si="4"/>
        <v>Dec</v>
      </c>
      <c r="LE1" s="3" t="str">
        <f t="shared" si="4"/>
        <v>Dec</v>
      </c>
      <c r="LF1" s="3" t="str">
        <f t="shared" si="4"/>
        <v>Dec</v>
      </c>
      <c r="LG1" s="3" t="str">
        <f t="shared" si="4"/>
        <v>Dec</v>
      </c>
      <c r="LH1" s="3" t="str">
        <f t="shared" si="4"/>
        <v>Dec</v>
      </c>
      <c r="LI1" s="3" t="str">
        <f t="shared" si="4"/>
        <v>Dec</v>
      </c>
      <c r="LJ1" s="3" t="str">
        <f t="shared" si="4"/>
        <v>Dec</v>
      </c>
      <c r="LK1" s="3" t="str">
        <f t="shared" si="4"/>
        <v>Dec</v>
      </c>
      <c r="LL1" s="3" t="str">
        <f t="shared" si="4"/>
        <v>Dec</v>
      </c>
      <c r="LM1" s="3" t="str">
        <f t="shared" si="4"/>
        <v>Dec</v>
      </c>
      <c r="LN1" s="3" t="str">
        <f t="shared" si="4"/>
        <v>Dec</v>
      </c>
      <c r="LO1" s="3" t="str">
        <f t="shared" si="4"/>
        <v>Dec</v>
      </c>
      <c r="LP1" s="3" t="str">
        <f t="shared" si="4"/>
        <v>Dec</v>
      </c>
      <c r="LQ1" s="3" t="str">
        <f t="shared" si="4"/>
        <v>Dec</v>
      </c>
      <c r="LR1" s="3" t="str">
        <f t="shared" ref="LR1:OC1" si="5">TEXT(LR3,"mmm")</f>
        <v>Dec</v>
      </c>
      <c r="LS1" s="3" t="str">
        <f t="shared" si="5"/>
        <v>Dec</v>
      </c>
      <c r="LT1" s="3" t="str">
        <f t="shared" si="5"/>
        <v>Dec</v>
      </c>
      <c r="LU1" s="3" t="str">
        <f t="shared" si="5"/>
        <v>Dec</v>
      </c>
      <c r="LV1" s="3" t="str">
        <f t="shared" si="5"/>
        <v>Dec</v>
      </c>
      <c r="LW1" s="3" t="str">
        <f t="shared" si="5"/>
        <v>Dec</v>
      </c>
      <c r="LX1" s="3" t="str">
        <f t="shared" si="5"/>
        <v>Dec</v>
      </c>
      <c r="LY1" s="3" t="str">
        <f t="shared" si="5"/>
        <v>Dec</v>
      </c>
      <c r="LZ1" s="3" t="str">
        <f t="shared" si="5"/>
        <v>Dec</v>
      </c>
      <c r="MA1" s="3" t="str">
        <f t="shared" si="5"/>
        <v>Dec</v>
      </c>
      <c r="MB1" s="3" t="str">
        <f t="shared" si="5"/>
        <v>Dec</v>
      </c>
      <c r="MC1" s="3" t="str">
        <f t="shared" si="5"/>
        <v>Dec</v>
      </c>
      <c r="MD1" s="3" t="str">
        <f t="shared" si="5"/>
        <v>Dec</v>
      </c>
      <c r="ME1" s="3" t="str">
        <f t="shared" si="5"/>
        <v>Jan</v>
      </c>
      <c r="MF1" s="3" t="str">
        <f t="shared" si="5"/>
        <v>Jan</v>
      </c>
      <c r="MG1" s="3" t="str">
        <f t="shared" si="5"/>
        <v>Jan</v>
      </c>
      <c r="MH1" s="3" t="str">
        <f t="shared" si="5"/>
        <v>Jan</v>
      </c>
      <c r="MI1" s="3" t="str">
        <f t="shared" si="5"/>
        <v>Jan</v>
      </c>
      <c r="MJ1" s="3" t="str">
        <f t="shared" si="5"/>
        <v>Jan</v>
      </c>
      <c r="MK1" s="3" t="str">
        <f t="shared" si="5"/>
        <v>Jan</v>
      </c>
      <c r="ML1" s="3" t="str">
        <f t="shared" si="5"/>
        <v>Jan</v>
      </c>
      <c r="MM1" s="3" t="str">
        <f t="shared" si="5"/>
        <v>Jan</v>
      </c>
      <c r="MN1" s="3" t="str">
        <f t="shared" si="5"/>
        <v>Jan</v>
      </c>
      <c r="MO1" s="3" t="str">
        <f t="shared" si="5"/>
        <v>Jan</v>
      </c>
      <c r="MP1" s="3" t="str">
        <f t="shared" si="5"/>
        <v>Jan</v>
      </c>
      <c r="MQ1" s="3" t="str">
        <f t="shared" si="5"/>
        <v>Jan</v>
      </c>
      <c r="MR1" s="3" t="str">
        <f t="shared" si="5"/>
        <v>Jan</v>
      </c>
      <c r="MS1" s="3" t="str">
        <f t="shared" si="5"/>
        <v>Jan</v>
      </c>
      <c r="MT1" s="3" t="str">
        <f t="shared" si="5"/>
        <v>Jan</v>
      </c>
      <c r="MU1" s="3" t="str">
        <f t="shared" si="5"/>
        <v>Jan</v>
      </c>
      <c r="MV1" s="3" t="str">
        <f t="shared" si="5"/>
        <v>Jan</v>
      </c>
      <c r="MW1" s="3" t="str">
        <f t="shared" si="5"/>
        <v>Jan</v>
      </c>
      <c r="MX1" s="3" t="str">
        <f t="shared" si="5"/>
        <v>Jan</v>
      </c>
      <c r="MY1" s="3" t="str">
        <f t="shared" si="5"/>
        <v>Jan</v>
      </c>
      <c r="MZ1" s="3" t="str">
        <f t="shared" si="5"/>
        <v>Jan</v>
      </c>
      <c r="NA1" s="3" t="str">
        <f t="shared" si="5"/>
        <v>Jan</v>
      </c>
      <c r="NB1" s="3" t="str">
        <f t="shared" si="5"/>
        <v>Jan</v>
      </c>
      <c r="NC1" s="3" t="str">
        <f t="shared" si="5"/>
        <v>Jan</v>
      </c>
      <c r="ND1" s="3" t="str">
        <f t="shared" si="5"/>
        <v>Jan</v>
      </c>
      <c r="NE1" s="3" t="str">
        <f t="shared" si="5"/>
        <v>Jan</v>
      </c>
      <c r="NF1" s="3" t="str">
        <f t="shared" si="5"/>
        <v>Jan</v>
      </c>
      <c r="NG1" s="3" t="str">
        <f t="shared" si="5"/>
        <v>Jan</v>
      </c>
      <c r="NH1" s="3" t="str">
        <f t="shared" si="5"/>
        <v>Jan</v>
      </c>
      <c r="NI1" s="3" t="str">
        <f t="shared" si="5"/>
        <v>Jan</v>
      </c>
      <c r="NJ1" s="3" t="str">
        <f t="shared" si="5"/>
        <v>Feb</v>
      </c>
      <c r="NK1" s="3" t="str">
        <f t="shared" si="5"/>
        <v>Feb</v>
      </c>
      <c r="NL1" s="3" t="str">
        <f t="shared" si="5"/>
        <v>Feb</v>
      </c>
      <c r="NM1" s="3" t="str">
        <f t="shared" si="5"/>
        <v>Feb</v>
      </c>
      <c r="NN1" s="3" t="str">
        <f t="shared" si="5"/>
        <v>Feb</v>
      </c>
      <c r="NO1" s="3" t="str">
        <f t="shared" si="5"/>
        <v>Feb</v>
      </c>
      <c r="NP1" s="3" t="str">
        <f t="shared" si="5"/>
        <v>Feb</v>
      </c>
      <c r="NQ1" s="3" t="str">
        <f t="shared" si="5"/>
        <v>Feb</v>
      </c>
      <c r="NR1" s="3" t="str">
        <f t="shared" si="5"/>
        <v>Feb</v>
      </c>
      <c r="NS1" s="3" t="str">
        <f t="shared" si="5"/>
        <v>Feb</v>
      </c>
      <c r="NT1" s="3" t="str">
        <f t="shared" si="5"/>
        <v>Feb</v>
      </c>
      <c r="NU1" s="3" t="str">
        <f t="shared" si="5"/>
        <v>Feb</v>
      </c>
      <c r="NV1" s="3" t="str">
        <f t="shared" si="5"/>
        <v>Feb</v>
      </c>
      <c r="NW1" s="3" t="str">
        <f t="shared" si="5"/>
        <v>Feb</v>
      </c>
      <c r="NX1" s="3" t="str">
        <f t="shared" si="5"/>
        <v>Feb</v>
      </c>
      <c r="NY1" s="3" t="str">
        <f t="shared" si="5"/>
        <v>Feb</v>
      </c>
      <c r="NZ1" s="3" t="str">
        <f t="shared" si="5"/>
        <v>Feb</v>
      </c>
      <c r="OA1" s="3" t="str">
        <f t="shared" si="5"/>
        <v>Feb</v>
      </c>
      <c r="OB1" s="3" t="str">
        <f t="shared" si="5"/>
        <v>Feb</v>
      </c>
      <c r="OC1" s="3" t="str">
        <f t="shared" si="5"/>
        <v>Feb</v>
      </c>
      <c r="OD1" s="3" t="str">
        <f t="shared" ref="OD1:PL1" si="6">TEXT(OD3,"mmm")</f>
        <v>Feb</v>
      </c>
      <c r="OE1" s="3" t="str">
        <f t="shared" si="6"/>
        <v>Feb</v>
      </c>
      <c r="OF1" s="3" t="str">
        <f t="shared" si="6"/>
        <v>Feb</v>
      </c>
      <c r="OG1" s="3" t="str">
        <f t="shared" si="6"/>
        <v>Feb</v>
      </c>
      <c r="OH1" s="3" t="str">
        <f t="shared" si="6"/>
        <v>Feb</v>
      </c>
      <c r="OI1" s="3" t="str">
        <f t="shared" si="6"/>
        <v>Feb</v>
      </c>
      <c r="OJ1" s="3" t="str">
        <f t="shared" si="6"/>
        <v>Feb</v>
      </c>
      <c r="OK1" s="3" t="str">
        <f t="shared" si="6"/>
        <v>Feb</v>
      </c>
      <c r="OL1" s="3" t="str">
        <f t="shared" si="6"/>
        <v>Mar</v>
      </c>
      <c r="OM1" s="3" t="str">
        <f t="shared" si="6"/>
        <v>Mar</v>
      </c>
      <c r="ON1" s="3" t="str">
        <f t="shared" si="6"/>
        <v>Mar</v>
      </c>
      <c r="OO1" s="3" t="str">
        <f t="shared" si="6"/>
        <v>Mar</v>
      </c>
      <c r="OP1" s="3" t="str">
        <f t="shared" si="6"/>
        <v>Mar</v>
      </c>
      <c r="OQ1" s="3" t="str">
        <f t="shared" si="6"/>
        <v>Mar</v>
      </c>
      <c r="OR1" s="3" t="str">
        <f t="shared" si="6"/>
        <v>Mar</v>
      </c>
      <c r="OS1" s="3" t="str">
        <f t="shared" si="6"/>
        <v>Mar</v>
      </c>
      <c r="OT1" s="3" t="str">
        <f t="shared" si="6"/>
        <v>Mar</v>
      </c>
      <c r="OU1" s="3" t="str">
        <f t="shared" si="6"/>
        <v>Mar</v>
      </c>
      <c r="OV1" s="3" t="str">
        <f t="shared" si="6"/>
        <v>Mar</v>
      </c>
      <c r="OW1" s="3" t="str">
        <f t="shared" si="6"/>
        <v>Mar</v>
      </c>
      <c r="OX1" s="3" t="str">
        <f t="shared" si="6"/>
        <v>Mar</v>
      </c>
      <c r="OY1" s="3" t="str">
        <f t="shared" si="6"/>
        <v>Mar</v>
      </c>
      <c r="OZ1" s="3" t="str">
        <f t="shared" si="6"/>
        <v>Mar</v>
      </c>
      <c r="PA1" s="3" t="str">
        <f t="shared" si="6"/>
        <v>Mar</v>
      </c>
      <c r="PB1" s="3" t="str">
        <f t="shared" si="6"/>
        <v>Mar</v>
      </c>
      <c r="PC1" s="3" t="str">
        <f t="shared" si="6"/>
        <v>Mar</v>
      </c>
      <c r="PD1" s="3" t="str">
        <f t="shared" si="6"/>
        <v>Mar</v>
      </c>
      <c r="PE1" s="3" t="str">
        <f t="shared" si="6"/>
        <v>Mar</v>
      </c>
      <c r="PF1" s="3" t="str">
        <f t="shared" si="6"/>
        <v>Mar</v>
      </c>
      <c r="PG1" s="3" t="str">
        <f t="shared" si="6"/>
        <v>Mar</v>
      </c>
      <c r="PH1" s="3" t="str">
        <f t="shared" si="6"/>
        <v>Mar</v>
      </c>
      <c r="PI1" s="3" t="str">
        <f t="shared" si="6"/>
        <v>Mar</v>
      </c>
      <c r="PJ1" s="3" t="str">
        <f t="shared" si="6"/>
        <v>Mar</v>
      </c>
      <c r="PK1" s="3" t="str">
        <f t="shared" si="6"/>
        <v>Mar</v>
      </c>
      <c r="PL1" s="3" t="str">
        <f t="shared" si="6"/>
        <v>Mar</v>
      </c>
    </row>
    <row r="2" spans="1:428" ht="16" thickBot="1">
      <c r="E2" s="4" t="s">
        <v>15</v>
      </c>
      <c r="J2" s="5">
        <f t="shared" ref="J2:BU2" si="7">J3</f>
        <v>46055</v>
      </c>
      <c r="K2" s="5">
        <f t="shared" si="7"/>
        <v>46056</v>
      </c>
      <c r="L2" s="5">
        <f t="shared" si="7"/>
        <v>46057</v>
      </c>
      <c r="M2" s="5">
        <f t="shared" si="7"/>
        <v>46058</v>
      </c>
      <c r="N2" s="5">
        <f t="shared" si="7"/>
        <v>46059</v>
      </c>
      <c r="O2" s="5">
        <f t="shared" si="7"/>
        <v>46060</v>
      </c>
      <c r="P2" s="5">
        <f t="shared" si="7"/>
        <v>46061</v>
      </c>
      <c r="Q2" s="5">
        <f t="shared" si="7"/>
        <v>46062</v>
      </c>
      <c r="R2" s="5">
        <f t="shared" si="7"/>
        <v>46063</v>
      </c>
      <c r="S2" s="5">
        <f t="shared" si="7"/>
        <v>46064</v>
      </c>
      <c r="T2" s="5">
        <f t="shared" si="7"/>
        <v>46065</v>
      </c>
      <c r="U2" s="5">
        <f t="shared" si="7"/>
        <v>46066</v>
      </c>
      <c r="V2" s="5">
        <f t="shared" si="7"/>
        <v>46067</v>
      </c>
      <c r="W2" s="5">
        <f t="shared" si="7"/>
        <v>46068</v>
      </c>
      <c r="X2" s="5">
        <f t="shared" si="7"/>
        <v>46069</v>
      </c>
      <c r="Y2" s="5">
        <f t="shared" si="7"/>
        <v>46070</v>
      </c>
      <c r="Z2" s="5">
        <f t="shared" si="7"/>
        <v>46071</v>
      </c>
      <c r="AA2" s="5">
        <f t="shared" si="7"/>
        <v>46072</v>
      </c>
      <c r="AB2" s="5">
        <f t="shared" si="7"/>
        <v>46073</v>
      </c>
      <c r="AC2" s="5">
        <f t="shared" si="7"/>
        <v>46074</v>
      </c>
      <c r="AD2" s="5">
        <f t="shared" si="7"/>
        <v>46075</v>
      </c>
      <c r="AE2" s="5">
        <f t="shared" si="7"/>
        <v>46076</v>
      </c>
      <c r="AF2" s="5">
        <f t="shared" si="7"/>
        <v>46077</v>
      </c>
      <c r="AG2" s="5">
        <f t="shared" si="7"/>
        <v>46078</v>
      </c>
      <c r="AH2" s="5">
        <f t="shared" si="7"/>
        <v>46079</v>
      </c>
      <c r="AI2" s="5">
        <f t="shared" si="7"/>
        <v>46080</v>
      </c>
      <c r="AJ2" s="5">
        <f t="shared" si="7"/>
        <v>46081</v>
      </c>
      <c r="AK2" s="5">
        <f t="shared" si="7"/>
        <v>46082</v>
      </c>
      <c r="AL2" s="5">
        <f t="shared" si="7"/>
        <v>46083</v>
      </c>
      <c r="AM2" s="5">
        <f t="shared" si="7"/>
        <v>46084</v>
      </c>
      <c r="AN2" s="5">
        <f t="shared" si="7"/>
        <v>46085</v>
      </c>
      <c r="AO2" s="5">
        <f t="shared" si="7"/>
        <v>46086</v>
      </c>
      <c r="AP2" s="5">
        <f t="shared" si="7"/>
        <v>46087</v>
      </c>
      <c r="AQ2" s="5">
        <f t="shared" si="7"/>
        <v>46088</v>
      </c>
      <c r="AR2" s="5">
        <f t="shared" si="7"/>
        <v>46089</v>
      </c>
      <c r="AS2" s="5">
        <f t="shared" si="7"/>
        <v>46090</v>
      </c>
      <c r="AT2" s="5">
        <f t="shared" si="7"/>
        <v>46091</v>
      </c>
      <c r="AU2" s="5">
        <f t="shared" si="7"/>
        <v>46092</v>
      </c>
      <c r="AV2" s="5">
        <f t="shared" si="7"/>
        <v>46093</v>
      </c>
      <c r="AW2" s="5">
        <f t="shared" si="7"/>
        <v>46094</v>
      </c>
      <c r="AX2" s="5">
        <f t="shared" si="7"/>
        <v>46095</v>
      </c>
      <c r="AY2" s="5">
        <f t="shared" si="7"/>
        <v>46096</v>
      </c>
      <c r="AZ2" s="5">
        <f t="shared" si="7"/>
        <v>46097</v>
      </c>
      <c r="BA2" s="5">
        <f t="shared" si="7"/>
        <v>46098</v>
      </c>
      <c r="BB2" s="5">
        <f t="shared" si="7"/>
        <v>46099</v>
      </c>
      <c r="BC2" s="5">
        <f t="shared" si="7"/>
        <v>46100</v>
      </c>
      <c r="BD2" s="5">
        <f t="shared" si="7"/>
        <v>46101</v>
      </c>
      <c r="BE2" s="5">
        <f t="shared" si="7"/>
        <v>46102</v>
      </c>
      <c r="BF2" s="5">
        <f t="shared" si="7"/>
        <v>46103</v>
      </c>
      <c r="BG2" s="5">
        <f t="shared" si="7"/>
        <v>46104</v>
      </c>
      <c r="BH2" s="5">
        <f t="shared" si="7"/>
        <v>46105</v>
      </c>
      <c r="BI2" s="5">
        <f t="shared" si="7"/>
        <v>46106</v>
      </c>
      <c r="BJ2" s="5">
        <f t="shared" si="7"/>
        <v>46107</v>
      </c>
      <c r="BK2" s="5">
        <f t="shared" si="7"/>
        <v>46108</v>
      </c>
      <c r="BL2" s="5">
        <f t="shared" si="7"/>
        <v>46109</v>
      </c>
      <c r="BM2" s="5">
        <f t="shared" si="7"/>
        <v>46110</v>
      </c>
      <c r="BN2" s="5">
        <f t="shared" si="7"/>
        <v>46111</v>
      </c>
      <c r="BO2" s="5">
        <f t="shared" si="7"/>
        <v>46112</v>
      </c>
      <c r="BP2" s="5">
        <f t="shared" si="7"/>
        <v>46113</v>
      </c>
      <c r="BQ2" s="5">
        <f t="shared" si="7"/>
        <v>46114</v>
      </c>
      <c r="BR2" s="5">
        <f t="shared" si="7"/>
        <v>46115</v>
      </c>
      <c r="BS2" s="5">
        <f t="shared" si="7"/>
        <v>46116</v>
      </c>
      <c r="BT2" s="5">
        <f t="shared" si="7"/>
        <v>46117</v>
      </c>
      <c r="BU2" s="5">
        <f t="shared" si="7"/>
        <v>46118</v>
      </c>
      <c r="BV2" s="5">
        <f t="shared" ref="BV2:EG2" si="8">BV3</f>
        <v>46119</v>
      </c>
      <c r="BW2" s="5">
        <f t="shared" si="8"/>
        <v>46120</v>
      </c>
      <c r="BX2" s="5">
        <f t="shared" si="8"/>
        <v>46121</v>
      </c>
      <c r="BY2" s="5">
        <f t="shared" si="8"/>
        <v>46122</v>
      </c>
      <c r="BZ2" s="5">
        <f t="shared" si="8"/>
        <v>46123</v>
      </c>
      <c r="CA2" s="5">
        <f t="shared" si="8"/>
        <v>46124</v>
      </c>
      <c r="CB2" s="5">
        <f t="shared" si="8"/>
        <v>46125</v>
      </c>
      <c r="CC2" s="5">
        <f t="shared" si="8"/>
        <v>46126</v>
      </c>
      <c r="CD2" s="5">
        <f t="shared" si="8"/>
        <v>46127</v>
      </c>
      <c r="CE2" s="5">
        <f t="shared" si="8"/>
        <v>46128</v>
      </c>
      <c r="CF2" s="5">
        <f t="shared" si="8"/>
        <v>46129</v>
      </c>
      <c r="CG2" s="5">
        <f t="shared" si="8"/>
        <v>46130</v>
      </c>
      <c r="CH2" s="5">
        <f t="shared" si="8"/>
        <v>46131</v>
      </c>
      <c r="CI2" s="5">
        <f t="shared" si="8"/>
        <v>46132</v>
      </c>
      <c r="CJ2" s="5">
        <f t="shared" si="8"/>
        <v>46133</v>
      </c>
      <c r="CK2" s="5">
        <f t="shared" si="8"/>
        <v>46134</v>
      </c>
      <c r="CL2" s="5">
        <f t="shared" si="8"/>
        <v>46135</v>
      </c>
      <c r="CM2" s="5">
        <f t="shared" si="8"/>
        <v>46136</v>
      </c>
      <c r="CN2" s="5">
        <f t="shared" si="8"/>
        <v>46137</v>
      </c>
      <c r="CO2" s="5">
        <f t="shared" si="8"/>
        <v>46138</v>
      </c>
      <c r="CP2" s="5">
        <f t="shared" si="8"/>
        <v>46139</v>
      </c>
      <c r="CQ2" s="5">
        <f t="shared" si="8"/>
        <v>46140</v>
      </c>
      <c r="CR2" s="5">
        <f t="shared" si="8"/>
        <v>46141</v>
      </c>
      <c r="CS2" s="5">
        <f t="shared" si="8"/>
        <v>46142</v>
      </c>
      <c r="CT2" s="5">
        <f t="shared" si="8"/>
        <v>46143</v>
      </c>
      <c r="CU2" s="5">
        <f t="shared" si="8"/>
        <v>46144</v>
      </c>
      <c r="CV2" s="5">
        <f t="shared" si="8"/>
        <v>46145</v>
      </c>
      <c r="CW2" s="5">
        <f t="shared" si="8"/>
        <v>46146</v>
      </c>
      <c r="CX2" s="5">
        <f t="shared" si="8"/>
        <v>46147</v>
      </c>
      <c r="CY2" s="5">
        <f t="shared" si="8"/>
        <v>46148</v>
      </c>
      <c r="CZ2" s="5">
        <f t="shared" si="8"/>
        <v>46149</v>
      </c>
      <c r="DA2" s="5">
        <f t="shared" si="8"/>
        <v>46150</v>
      </c>
      <c r="DB2" s="5">
        <f t="shared" si="8"/>
        <v>46151</v>
      </c>
      <c r="DC2" s="5">
        <f t="shared" si="8"/>
        <v>46152</v>
      </c>
      <c r="DD2" s="5">
        <f t="shared" si="8"/>
        <v>46153</v>
      </c>
      <c r="DE2" s="5">
        <f t="shared" si="8"/>
        <v>46154</v>
      </c>
      <c r="DF2" s="5">
        <f t="shared" si="8"/>
        <v>46155</v>
      </c>
      <c r="DG2" s="5">
        <f t="shared" si="8"/>
        <v>46156</v>
      </c>
      <c r="DH2" s="5">
        <f t="shared" si="8"/>
        <v>46157</v>
      </c>
      <c r="DI2" s="5">
        <f t="shared" si="8"/>
        <v>46158</v>
      </c>
      <c r="DJ2" s="5">
        <f t="shared" si="8"/>
        <v>46159</v>
      </c>
      <c r="DK2" s="5">
        <f t="shared" si="8"/>
        <v>46160</v>
      </c>
      <c r="DL2" s="5">
        <f t="shared" si="8"/>
        <v>46161</v>
      </c>
      <c r="DM2" s="5">
        <f t="shared" si="8"/>
        <v>46162</v>
      </c>
      <c r="DN2" s="5">
        <f t="shared" si="8"/>
        <v>46163</v>
      </c>
      <c r="DO2" s="5">
        <f t="shared" si="8"/>
        <v>46164</v>
      </c>
      <c r="DP2" s="5">
        <f t="shared" si="8"/>
        <v>46165</v>
      </c>
      <c r="DQ2" s="5">
        <f t="shared" si="8"/>
        <v>46166</v>
      </c>
      <c r="DR2" s="5">
        <f t="shared" si="8"/>
        <v>46167</v>
      </c>
      <c r="DS2" s="5">
        <f t="shared" si="8"/>
        <v>46168</v>
      </c>
      <c r="DT2" s="5">
        <f t="shared" si="8"/>
        <v>46169</v>
      </c>
      <c r="DU2" s="5">
        <f t="shared" si="8"/>
        <v>46170</v>
      </c>
      <c r="DV2" s="5">
        <f t="shared" si="8"/>
        <v>46171</v>
      </c>
      <c r="DW2" s="5">
        <f t="shared" si="8"/>
        <v>46172</v>
      </c>
      <c r="DX2" s="5">
        <f t="shared" si="8"/>
        <v>46173</v>
      </c>
      <c r="DY2" s="5">
        <f t="shared" si="8"/>
        <v>46174</v>
      </c>
      <c r="DZ2" s="5">
        <f t="shared" si="8"/>
        <v>46175</v>
      </c>
      <c r="EA2" s="5">
        <f t="shared" si="8"/>
        <v>46176</v>
      </c>
      <c r="EB2" s="5">
        <f t="shared" si="8"/>
        <v>46177</v>
      </c>
      <c r="EC2" s="5">
        <f t="shared" si="8"/>
        <v>46178</v>
      </c>
      <c r="ED2" s="5">
        <f t="shared" si="8"/>
        <v>46179</v>
      </c>
      <c r="EE2" s="5">
        <f t="shared" si="8"/>
        <v>46180</v>
      </c>
      <c r="EF2" s="5">
        <f t="shared" si="8"/>
        <v>46181</v>
      </c>
      <c r="EG2" s="5">
        <f t="shared" si="8"/>
        <v>46182</v>
      </c>
      <c r="EH2" s="5">
        <f t="shared" ref="EH2:GS2" si="9">EH3</f>
        <v>46183</v>
      </c>
      <c r="EI2" s="5">
        <f t="shared" si="9"/>
        <v>46184</v>
      </c>
      <c r="EJ2" s="5">
        <f t="shared" si="9"/>
        <v>46185</v>
      </c>
      <c r="EK2" s="5">
        <f t="shared" si="9"/>
        <v>46186</v>
      </c>
      <c r="EL2" s="5">
        <f t="shared" si="9"/>
        <v>46187</v>
      </c>
      <c r="EM2" s="5">
        <f t="shared" si="9"/>
        <v>46188</v>
      </c>
      <c r="EN2" s="5">
        <f t="shared" si="9"/>
        <v>46189</v>
      </c>
      <c r="EO2" s="5">
        <f t="shared" si="9"/>
        <v>46190</v>
      </c>
      <c r="EP2" s="5">
        <f t="shared" si="9"/>
        <v>46191</v>
      </c>
      <c r="EQ2" s="5">
        <f t="shared" si="9"/>
        <v>46192</v>
      </c>
      <c r="ER2" s="5">
        <f t="shared" si="9"/>
        <v>46193</v>
      </c>
      <c r="ES2" s="5">
        <f t="shared" si="9"/>
        <v>46194</v>
      </c>
      <c r="ET2" s="5">
        <f t="shared" si="9"/>
        <v>46195</v>
      </c>
      <c r="EU2" s="5">
        <f t="shared" si="9"/>
        <v>46196</v>
      </c>
      <c r="EV2" s="5">
        <f t="shared" si="9"/>
        <v>46197</v>
      </c>
      <c r="EW2" s="5">
        <f t="shared" si="9"/>
        <v>46198</v>
      </c>
      <c r="EX2" s="5">
        <f t="shared" si="9"/>
        <v>46199</v>
      </c>
      <c r="EY2" s="5">
        <f t="shared" si="9"/>
        <v>46200</v>
      </c>
      <c r="EZ2" s="5">
        <f t="shared" si="9"/>
        <v>46201</v>
      </c>
      <c r="FA2" s="5">
        <f t="shared" si="9"/>
        <v>46202</v>
      </c>
      <c r="FB2" s="5">
        <f t="shared" si="9"/>
        <v>46203</v>
      </c>
      <c r="FC2" s="5">
        <f t="shared" si="9"/>
        <v>46204</v>
      </c>
      <c r="FD2" s="5">
        <f t="shared" si="9"/>
        <v>46205</v>
      </c>
      <c r="FE2" s="5">
        <f t="shared" si="9"/>
        <v>46206</v>
      </c>
      <c r="FF2" s="5">
        <f t="shared" si="9"/>
        <v>46207</v>
      </c>
      <c r="FG2" s="5">
        <f t="shared" si="9"/>
        <v>46208</v>
      </c>
      <c r="FH2" s="5">
        <f t="shared" si="9"/>
        <v>46209</v>
      </c>
      <c r="FI2" s="5">
        <f t="shared" si="9"/>
        <v>46210</v>
      </c>
      <c r="FJ2" s="5">
        <f t="shared" si="9"/>
        <v>46211</v>
      </c>
      <c r="FK2" s="5">
        <f t="shared" si="9"/>
        <v>46212</v>
      </c>
      <c r="FL2" s="5">
        <f t="shared" si="9"/>
        <v>46213</v>
      </c>
      <c r="FM2" s="5">
        <f t="shared" si="9"/>
        <v>46214</v>
      </c>
      <c r="FN2" s="5">
        <f t="shared" si="9"/>
        <v>46215</v>
      </c>
      <c r="FO2" s="5">
        <f t="shared" si="9"/>
        <v>46216</v>
      </c>
      <c r="FP2" s="5">
        <f t="shared" si="9"/>
        <v>46217</v>
      </c>
      <c r="FQ2" s="5">
        <f t="shared" si="9"/>
        <v>46218</v>
      </c>
      <c r="FR2" s="5">
        <f t="shared" si="9"/>
        <v>46219</v>
      </c>
      <c r="FS2" s="5">
        <f t="shared" si="9"/>
        <v>46220</v>
      </c>
      <c r="FT2" s="5">
        <f t="shared" si="9"/>
        <v>46221</v>
      </c>
      <c r="FU2" s="5">
        <f t="shared" si="9"/>
        <v>46222</v>
      </c>
      <c r="FV2" s="5">
        <f t="shared" si="9"/>
        <v>46223</v>
      </c>
      <c r="FW2" s="5">
        <f t="shared" si="9"/>
        <v>46224</v>
      </c>
      <c r="FX2" s="5">
        <f t="shared" si="9"/>
        <v>46225</v>
      </c>
      <c r="FY2" s="5">
        <f t="shared" si="9"/>
        <v>46226</v>
      </c>
      <c r="FZ2" s="5">
        <f t="shared" si="9"/>
        <v>46227</v>
      </c>
      <c r="GA2" s="5">
        <f t="shared" si="9"/>
        <v>46228</v>
      </c>
      <c r="GB2" s="5">
        <f t="shared" si="9"/>
        <v>46229</v>
      </c>
      <c r="GC2" s="5">
        <f t="shared" si="9"/>
        <v>46230</v>
      </c>
      <c r="GD2" s="5">
        <f t="shared" si="9"/>
        <v>46231</v>
      </c>
      <c r="GE2" s="5">
        <f t="shared" si="9"/>
        <v>46232</v>
      </c>
      <c r="GF2" s="5">
        <f t="shared" si="9"/>
        <v>46233</v>
      </c>
      <c r="GG2" s="5">
        <f t="shared" si="9"/>
        <v>46234</v>
      </c>
      <c r="GH2" s="5">
        <f t="shared" si="9"/>
        <v>46235</v>
      </c>
      <c r="GI2" s="5">
        <f t="shared" si="9"/>
        <v>46236</v>
      </c>
      <c r="GJ2" s="5">
        <f t="shared" si="9"/>
        <v>46237</v>
      </c>
      <c r="GK2" s="5">
        <f t="shared" si="9"/>
        <v>46238</v>
      </c>
      <c r="GL2" s="5">
        <f t="shared" si="9"/>
        <v>46239</v>
      </c>
      <c r="GM2" s="5">
        <f t="shared" si="9"/>
        <v>46240</v>
      </c>
      <c r="GN2" s="5">
        <f t="shared" si="9"/>
        <v>46241</v>
      </c>
      <c r="GO2" s="5">
        <f t="shared" si="9"/>
        <v>46242</v>
      </c>
      <c r="GP2" s="5">
        <f t="shared" si="9"/>
        <v>46243</v>
      </c>
      <c r="GQ2" s="5">
        <f t="shared" si="9"/>
        <v>46244</v>
      </c>
      <c r="GR2" s="5">
        <f t="shared" si="9"/>
        <v>46245</v>
      </c>
      <c r="GS2" s="5">
        <f t="shared" si="9"/>
        <v>46246</v>
      </c>
      <c r="GT2" s="5">
        <f t="shared" ref="GT2:JE2" si="10">GT3</f>
        <v>46247</v>
      </c>
      <c r="GU2" s="5">
        <f t="shared" si="10"/>
        <v>46248</v>
      </c>
      <c r="GV2" s="5">
        <f t="shared" si="10"/>
        <v>46249</v>
      </c>
      <c r="GW2" s="5">
        <f t="shared" si="10"/>
        <v>46250</v>
      </c>
      <c r="GX2" s="5">
        <f t="shared" si="10"/>
        <v>46251</v>
      </c>
      <c r="GY2" s="5">
        <f t="shared" si="10"/>
        <v>46252</v>
      </c>
      <c r="GZ2" s="5">
        <f t="shared" si="10"/>
        <v>46253</v>
      </c>
      <c r="HA2" s="5">
        <f t="shared" si="10"/>
        <v>46254</v>
      </c>
      <c r="HB2" s="5">
        <f t="shared" si="10"/>
        <v>46255</v>
      </c>
      <c r="HC2" s="5">
        <f t="shared" si="10"/>
        <v>46256</v>
      </c>
      <c r="HD2" s="5">
        <f t="shared" si="10"/>
        <v>46257</v>
      </c>
      <c r="HE2" s="5">
        <f t="shared" si="10"/>
        <v>46258</v>
      </c>
      <c r="HF2" s="5">
        <f t="shared" si="10"/>
        <v>46259</v>
      </c>
      <c r="HG2" s="5">
        <f t="shared" si="10"/>
        <v>46260</v>
      </c>
      <c r="HH2" s="5">
        <f t="shared" si="10"/>
        <v>46261</v>
      </c>
      <c r="HI2" s="5">
        <f t="shared" si="10"/>
        <v>46262</v>
      </c>
      <c r="HJ2" s="5">
        <f t="shared" si="10"/>
        <v>46263</v>
      </c>
      <c r="HK2" s="5">
        <f t="shared" si="10"/>
        <v>46264</v>
      </c>
      <c r="HL2" s="5">
        <f t="shared" si="10"/>
        <v>46265</v>
      </c>
      <c r="HM2" s="5">
        <f t="shared" si="10"/>
        <v>46266</v>
      </c>
      <c r="HN2" s="5">
        <f t="shared" si="10"/>
        <v>46267</v>
      </c>
      <c r="HO2" s="5">
        <f t="shared" si="10"/>
        <v>46268</v>
      </c>
      <c r="HP2" s="5">
        <f t="shared" si="10"/>
        <v>46269</v>
      </c>
      <c r="HQ2" s="5">
        <f t="shared" si="10"/>
        <v>46270</v>
      </c>
      <c r="HR2" s="5">
        <f t="shared" si="10"/>
        <v>46271</v>
      </c>
      <c r="HS2" s="5">
        <f t="shared" si="10"/>
        <v>46272</v>
      </c>
      <c r="HT2" s="5">
        <f t="shared" si="10"/>
        <v>46273</v>
      </c>
      <c r="HU2" s="5">
        <f t="shared" si="10"/>
        <v>46274</v>
      </c>
      <c r="HV2" s="5">
        <f t="shared" si="10"/>
        <v>46275</v>
      </c>
      <c r="HW2" s="5">
        <f t="shared" si="10"/>
        <v>46276</v>
      </c>
      <c r="HX2" s="5">
        <f t="shared" si="10"/>
        <v>46277</v>
      </c>
      <c r="HY2" s="5">
        <f t="shared" si="10"/>
        <v>46278</v>
      </c>
      <c r="HZ2" s="5">
        <f t="shared" si="10"/>
        <v>46279</v>
      </c>
      <c r="IA2" s="5">
        <f t="shared" si="10"/>
        <v>46280</v>
      </c>
      <c r="IB2" s="5">
        <f t="shared" si="10"/>
        <v>46281</v>
      </c>
      <c r="IC2" s="5">
        <f t="shared" si="10"/>
        <v>46282</v>
      </c>
      <c r="ID2" s="5">
        <f t="shared" si="10"/>
        <v>46283</v>
      </c>
      <c r="IE2" s="5">
        <f t="shared" si="10"/>
        <v>46284</v>
      </c>
      <c r="IF2" s="5">
        <f t="shared" si="10"/>
        <v>46285</v>
      </c>
      <c r="IG2" s="5">
        <f t="shared" si="10"/>
        <v>46286</v>
      </c>
      <c r="IH2" s="5">
        <f t="shared" si="10"/>
        <v>46287</v>
      </c>
      <c r="II2" s="5">
        <f t="shared" si="10"/>
        <v>46288</v>
      </c>
      <c r="IJ2" s="5">
        <f t="shared" si="10"/>
        <v>46289</v>
      </c>
      <c r="IK2" s="5">
        <f t="shared" si="10"/>
        <v>46290</v>
      </c>
      <c r="IL2" s="5">
        <f t="shared" si="10"/>
        <v>46291</v>
      </c>
      <c r="IM2" s="5">
        <f t="shared" si="10"/>
        <v>46292</v>
      </c>
      <c r="IN2" s="5">
        <f t="shared" si="10"/>
        <v>46293</v>
      </c>
      <c r="IO2" s="5">
        <f t="shared" si="10"/>
        <v>46294</v>
      </c>
      <c r="IP2" s="5">
        <f t="shared" si="10"/>
        <v>46295</v>
      </c>
      <c r="IQ2" s="5">
        <f t="shared" si="10"/>
        <v>46296</v>
      </c>
      <c r="IR2" s="5">
        <f t="shared" si="10"/>
        <v>46297</v>
      </c>
      <c r="IS2" s="5">
        <f t="shared" si="10"/>
        <v>46298</v>
      </c>
      <c r="IT2" s="5">
        <f t="shared" si="10"/>
        <v>46299</v>
      </c>
      <c r="IU2" s="5">
        <f t="shared" si="10"/>
        <v>46300</v>
      </c>
      <c r="IV2" s="5">
        <f t="shared" si="10"/>
        <v>46301</v>
      </c>
      <c r="IW2" s="5">
        <f t="shared" si="10"/>
        <v>46302</v>
      </c>
      <c r="IX2" s="5">
        <f t="shared" si="10"/>
        <v>46303</v>
      </c>
      <c r="IY2" s="5">
        <f t="shared" si="10"/>
        <v>46304</v>
      </c>
      <c r="IZ2" s="5">
        <f t="shared" si="10"/>
        <v>46305</v>
      </c>
      <c r="JA2" s="5">
        <f t="shared" si="10"/>
        <v>46306</v>
      </c>
      <c r="JB2" s="5">
        <f t="shared" si="10"/>
        <v>46307</v>
      </c>
      <c r="JC2" s="5">
        <f t="shared" si="10"/>
        <v>46308</v>
      </c>
      <c r="JD2" s="5">
        <f t="shared" si="10"/>
        <v>46309</v>
      </c>
      <c r="JE2" s="5">
        <f t="shared" si="10"/>
        <v>46310</v>
      </c>
      <c r="JF2" s="5">
        <f t="shared" ref="JF2:LQ2" si="11">JF3</f>
        <v>46311</v>
      </c>
      <c r="JG2" s="5">
        <f t="shared" si="11"/>
        <v>46312</v>
      </c>
      <c r="JH2" s="5">
        <f t="shared" si="11"/>
        <v>46313</v>
      </c>
      <c r="JI2" s="5">
        <f t="shared" si="11"/>
        <v>46314</v>
      </c>
      <c r="JJ2" s="5">
        <f t="shared" si="11"/>
        <v>46315</v>
      </c>
      <c r="JK2" s="5">
        <f t="shared" si="11"/>
        <v>46316</v>
      </c>
      <c r="JL2" s="5">
        <f t="shared" si="11"/>
        <v>46317</v>
      </c>
      <c r="JM2" s="5">
        <f t="shared" si="11"/>
        <v>46318</v>
      </c>
      <c r="JN2" s="5">
        <f t="shared" si="11"/>
        <v>46319</v>
      </c>
      <c r="JO2" s="5">
        <f t="shared" si="11"/>
        <v>46320</v>
      </c>
      <c r="JP2" s="5">
        <f t="shared" si="11"/>
        <v>46321</v>
      </c>
      <c r="JQ2" s="5">
        <f t="shared" si="11"/>
        <v>46322</v>
      </c>
      <c r="JR2" s="5">
        <f t="shared" si="11"/>
        <v>46323</v>
      </c>
      <c r="JS2" s="5">
        <f t="shared" si="11"/>
        <v>46324</v>
      </c>
      <c r="JT2" s="5">
        <f t="shared" si="11"/>
        <v>46325</v>
      </c>
      <c r="JU2" s="5">
        <f t="shared" si="11"/>
        <v>46326</v>
      </c>
      <c r="JV2" s="5">
        <f t="shared" si="11"/>
        <v>46327</v>
      </c>
      <c r="JW2" s="5">
        <f t="shared" si="11"/>
        <v>46328</v>
      </c>
      <c r="JX2" s="5">
        <f t="shared" si="11"/>
        <v>46329</v>
      </c>
      <c r="JY2" s="5">
        <f t="shared" si="11"/>
        <v>46330</v>
      </c>
      <c r="JZ2" s="5">
        <f t="shared" si="11"/>
        <v>46331</v>
      </c>
      <c r="KA2" s="5">
        <f t="shared" si="11"/>
        <v>46332</v>
      </c>
      <c r="KB2" s="5">
        <f t="shared" si="11"/>
        <v>46333</v>
      </c>
      <c r="KC2" s="5">
        <f t="shared" si="11"/>
        <v>46334</v>
      </c>
      <c r="KD2" s="5">
        <f t="shared" si="11"/>
        <v>46335</v>
      </c>
      <c r="KE2" s="5">
        <f t="shared" si="11"/>
        <v>46336</v>
      </c>
      <c r="KF2" s="5">
        <f t="shared" si="11"/>
        <v>46337</v>
      </c>
      <c r="KG2" s="5">
        <f t="shared" si="11"/>
        <v>46338</v>
      </c>
      <c r="KH2" s="5">
        <f t="shared" si="11"/>
        <v>46339</v>
      </c>
      <c r="KI2" s="5">
        <f t="shared" si="11"/>
        <v>46340</v>
      </c>
      <c r="KJ2" s="5">
        <f t="shared" si="11"/>
        <v>46341</v>
      </c>
      <c r="KK2" s="5">
        <f t="shared" si="11"/>
        <v>46342</v>
      </c>
      <c r="KL2" s="5">
        <f t="shared" si="11"/>
        <v>46343</v>
      </c>
      <c r="KM2" s="5">
        <f t="shared" si="11"/>
        <v>46344</v>
      </c>
      <c r="KN2" s="5">
        <f t="shared" si="11"/>
        <v>46345</v>
      </c>
      <c r="KO2" s="5">
        <f t="shared" si="11"/>
        <v>46346</v>
      </c>
      <c r="KP2" s="5">
        <f t="shared" si="11"/>
        <v>46347</v>
      </c>
      <c r="KQ2" s="5">
        <f t="shared" si="11"/>
        <v>46348</v>
      </c>
      <c r="KR2" s="5">
        <f t="shared" si="11"/>
        <v>46349</v>
      </c>
      <c r="KS2" s="5">
        <f t="shared" si="11"/>
        <v>46350</v>
      </c>
      <c r="KT2" s="5">
        <f t="shared" si="11"/>
        <v>46351</v>
      </c>
      <c r="KU2" s="5">
        <f t="shared" si="11"/>
        <v>46352</v>
      </c>
      <c r="KV2" s="5">
        <f t="shared" si="11"/>
        <v>46353</v>
      </c>
      <c r="KW2" s="5">
        <f t="shared" si="11"/>
        <v>46354</v>
      </c>
      <c r="KX2" s="5">
        <f t="shared" si="11"/>
        <v>46355</v>
      </c>
      <c r="KY2" s="5">
        <f t="shared" si="11"/>
        <v>46356</v>
      </c>
      <c r="KZ2" s="5">
        <f t="shared" si="11"/>
        <v>46357</v>
      </c>
      <c r="LA2" s="5">
        <f t="shared" si="11"/>
        <v>46358</v>
      </c>
      <c r="LB2" s="5">
        <f t="shared" si="11"/>
        <v>46359</v>
      </c>
      <c r="LC2" s="5">
        <f t="shared" si="11"/>
        <v>46360</v>
      </c>
      <c r="LD2" s="5">
        <f t="shared" si="11"/>
        <v>46361</v>
      </c>
      <c r="LE2" s="5">
        <f t="shared" si="11"/>
        <v>46362</v>
      </c>
      <c r="LF2" s="5">
        <f t="shared" si="11"/>
        <v>46363</v>
      </c>
      <c r="LG2" s="5">
        <f t="shared" si="11"/>
        <v>46364</v>
      </c>
      <c r="LH2" s="5">
        <f t="shared" si="11"/>
        <v>46365</v>
      </c>
      <c r="LI2" s="5">
        <f t="shared" si="11"/>
        <v>46366</v>
      </c>
      <c r="LJ2" s="5">
        <f t="shared" si="11"/>
        <v>46367</v>
      </c>
      <c r="LK2" s="5">
        <f t="shared" si="11"/>
        <v>46368</v>
      </c>
      <c r="LL2" s="5">
        <f t="shared" si="11"/>
        <v>46369</v>
      </c>
      <c r="LM2" s="5">
        <f t="shared" si="11"/>
        <v>46370</v>
      </c>
      <c r="LN2" s="5">
        <f t="shared" si="11"/>
        <v>46371</v>
      </c>
      <c r="LO2" s="5">
        <f t="shared" si="11"/>
        <v>46372</v>
      </c>
      <c r="LP2" s="5">
        <f t="shared" si="11"/>
        <v>46373</v>
      </c>
      <c r="LQ2" s="5">
        <f t="shared" si="11"/>
        <v>46374</v>
      </c>
      <c r="LR2" s="5">
        <f t="shared" ref="LR2:OC2" si="12">LR3</f>
        <v>46375</v>
      </c>
      <c r="LS2" s="5">
        <f t="shared" si="12"/>
        <v>46376</v>
      </c>
      <c r="LT2" s="5">
        <f t="shared" si="12"/>
        <v>46377</v>
      </c>
      <c r="LU2" s="5">
        <f t="shared" si="12"/>
        <v>46378</v>
      </c>
      <c r="LV2" s="5">
        <f t="shared" si="12"/>
        <v>46379</v>
      </c>
      <c r="LW2" s="5">
        <f t="shared" si="12"/>
        <v>46380</v>
      </c>
      <c r="LX2" s="5">
        <f t="shared" si="12"/>
        <v>46381</v>
      </c>
      <c r="LY2" s="5">
        <f t="shared" si="12"/>
        <v>46382</v>
      </c>
      <c r="LZ2" s="5">
        <f t="shared" si="12"/>
        <v>46383</v>
      </c>
      <c r="MA2" s="5">
        <f t="shared" si="12"/>
        <v>46384</v>
      </c>
      <c r="MB2" s="5">
        <f t="shared" si="12"/>
        <v>46385</v>
      </c>
      <c r="MC2" s="5">
        <f t="shared" si="12"/>
        <v>46386</v>
      </c>
      <c r="MD2" s="5">
        <f t="shared" si="12"/>
        <v>46387</v>
      </c>
      <c r="ME2" s="5">
        <f t="shared" si="12"/>
        <v>46388</v>
      </c>
      <c r="MF2" s="5">
        <f t="shared" si="12"/>
        <v>46389</v>
      </c>
      <c r="MG2" s="5">
        <f t="shared" si="12"/>
        <v>46390</v>
      </c>
      <c r="MH2" s="5">
        <f t="shared" si="12"/>
        <v>46391</v>
      </c>
      <c r="MI2" s="5">
        <f t="shared" si="12"/>
        <v>46392</v>
      </c>
      <c r="MJ2" s="5">
        <f t="shared" si="12"/>
        <v>46393</v>
      </c>
      <c r="MK2" s="5">
        <f t="shared" si="12"/>
        <v>46394</v>
      </c>
      <c r="ML2" s="5">
        <f t="shared" si="12"/>
        <v>46395</v>
      </c>
      <c r="MM2" s="5">
        <f t="shared" si="12"/>
        <v>46396</v>
      </c>
      <c r="MN2" s="5">
        <f t="shared" si="12"/>
        <v>46397</v>
      </c>
      <c r="MO2" s="5">
        <f t="shared" si="12"/>
        <v>46398</v>
      </c>
      <c r="MP2" s="5">
        <f t="shared" si="12"/>
        <v>46399</v>
      </c>
      <c r="MQ2" s="5">
        <f t="shared" si="12"/>
        <v>46400</v>
      </c>
      <c r="MR2" s="5">
        <f t="shared" si="12"/>
        <v>46401</v>
      </c>
      <c r="MS2" s="5">
        <f t="shared" si="12"/>
        <v>46402</v>
      </c>
      <c r="MT2" s="5">
        <f t="shared" si="12"/>
        <v>46403</v>
      </c>
      <c r="MU2" s="5">
        <f t="shared" si="12"/>
        <v>46404</v>
      </c>
      <c r="MV2" s="5">
        <f t="shared" si="12"/>
        <v>46405</v>
      </c>
      <c r="MW2" s="5">
        <f t="shared" si="12"/>
        <v>46406</v>
      </c>
      <c r="MX2" s="5">
        <f t="shared" si="12"/>
        <v>46407</v>
      </c>
      <c r="MY2" s="5">
        <f t="shared" si="12"/>
        <v>46408</v>
      </c>
      <c r="MZ2" s="5">
        <f t="shared" si="12"/>
        <v>46409</v>
      </c>
      <c r="NA2" s="5">
        <f t="shared" si="12"/>
        <v>46410</v>
      </c>
      <c r="NB2" s="5">
        <f t="shared" si="12"/>
        <v>46411</v>
      </c>
      <c r="NC2" s="5">
        <f t="shared" si="12"/>
        <v>46412</v>
      </c>
      <c r="ND2" s="5">
        <f t="shared" si="12"/>
        <v>46413</v>
      </c>
      <c r="NE2" s="5">
        <f t="shared" si="12"/>
        <v>46414</v>
      </c>
      <c r="NF2" s="5">
        <f t="shared" si="12"/>
        <v>46415</v>
      </c>
      <c r="NG2" s="5">
        <f t="shared" si="12"/>
        <v>46416</v>
      </c>
      <c r="NH2" s="5">
        <f t="shared" si="12"/>
        <v>46417</v>
      </c>
      <c r="NI2" s="5">
        <f t="shared" si="12"/>
        <v>46418</v>
      </c>
      <c r="NJ2" s="5">
        <f t="shared" si="12"/>
        <v>46419</v>
      </c>
      <c r="NK2" s="5">
        <f t="shared" si="12"/>
        <v>46420</v>
      </c>
      <c r="NL2" s="5">
        <f t="shared" si="12"/>
        <v>46421</v>
      </c>
      <c r="NM2" s="5">
        <f t="shared" si="12"/>
        <v>46422</v>
      </c>
      <c r="NN2" s="5">
        <f t="shared" si="12"/>
        <v>46423</v>
      </c>
      <c r="NO2" s="5">
        <f t="shared" si="12"/>
        <v>46424</v>
      </c>
      <c r="NP2" s="5">
        <f t="shared" si="12"/>
        <v>46425</v>
      </c>
      <c r="NQ2" s="5">
        <f t="shared" si="12"/>
        <v>46426</v>
      </c>
      <c r="NR2" s="5">
        <f t="shared" si="12"/>
        <v>46427</v>
      </c>
      <c r="NS2" s="5">
        <f t="shared" si="12"/>
        <v>46428</v>
      </c>
      <c r="NT2" s="5">
        <f t="shared" si="12"/>
        <v>46429</v>
      </c>
      <c r="NU2" s="5">
        <f t="shared" si="12"/>
        <v>46430</v>
      </c>
      <c r="NV2" s="5">
        <f t="shared" si="12"/>
        <v>46431</v>
      </c>
      <c r="NW2" s="5">
        <f t="shared" si="12"/>
        <v>46432</v>
      </c>
      <c r="NX2" s="5">
        <f t="shared" si="12"/>
        <v>46433</v>
      </c>
      <c r="NY2" s="5">
        <f t="shared" si="12"/>
        <v>46434</v>
      </c>
      <c r="NZ2" s="5">
        <f t="shared" si="12"/>
        <v>46435</v>
      </c>
      <c r="OA2" s="5">
        <f t="shared" si="12"/>
        <v>46436</v>
      </c>
      <c r="OB2" s="5">
        <f t="shared" si="12"/>
        <v>46437</v>
      </c>
      <c r="OC2" s="5">
        <f t="shared" si="12"/>
        <v>46438</v>
      </c>
      <c r="OD2" s="5">
        <f t="shared" ref="OD2:PL2" si="13">OD3</f>
        <v>46439</v>
      </c>
      <c r="OE2" s="5">
        <f t="shared" si="13"/>
        <v>46440</v>
      </c>
      <c r="OF2" s="5">
        <f t="shared" si="13"/>
        <v>46441</v>
      </c>
      <c r="OG2" s="5">
        <f t="shared" si="13"/>
        <v>46442</v>
      </c>
      <c r="OH2" s="5">
        <f t="shared" si="13"/>
        <v>46443</v>
      </c>
      <c r="OI2" s="5">
        <f t="shared" si="13"/>
        <v>46444</v>
      </c>
      <c r="OJ2" s="5">
        <f t="shared" si="13"/>
        <v>46445</v>
      </c>
      <c r="OK2" s="5">
        <f t="shared" si="13"/>
        <v>46446</v>
      </c>
      <c r="OL2" s="5">
        <f t="shared" si="13"/>
        <v>46447</v>
      </c>
      <c r="OM2" s="5">
        <f t="shared" si="13"/>
        <v>46448</v>
      </c>
      <c r="ON2" s="5">
        <f t="shared" si="13"/>
        <v>46449</v>
      </c>
      <c r="OO2" s="5">
        <f t="shared" si="13"/>
        <v>46450</v>
      </c>
      <c r="OP2" s="5">
        <f t="shared" si="13"/>
        <v>46451</v>
      </c>
      <c r="OQ2" s="5">
        <f t="shared" si="13"/>
        <v>46452</v>
      </c>
      <c r="OR2" s="5">
        <f t="shared" si="13"/>
        <v>46453</v>
      </c>
      <c r="OS2" s="5">
        <f t="shared" si="13"/>
        <v>46454</v>
      </c>
      <c r="OT2" s="5">
        <f t="shared" si="13"/>
        <v>46455</v>
      </c>
      <c r="OU2" s="5">
        <f t="shared" si="13"/>
        <v>46456</v>
      </c>
      <c r="OV2" s="5">
        <f t="shared" si="13"/>
        <v>46457</v>
      </c>
      <c r="OW2" s="5">
        <f t="shared" si="13"/>
        <v>46458</v>
      </c>
      <c r="OX2" s="5">
        <f t="shared" si="13"/>
        <v>46459</v>
      </c>
      <c r="OY2" s="5">
        <f t="shared" si="13"/>
        <v>46460</v>
      </c>
      <c r="OZ2" s="5">
        <f t="shared" si="13"/>
        <v>46461</v>
      </c>
      <c r="PA2" s="5">
        <f t="shared" si="13"/>
        <v>46462</v>
      </c>
      <c r="PB2" s="5">
        <f t="shared" si="13"/>
        <v>46463</v>
      </c>
      <c r="PC2" s="5">
        <f t="shared" si="13"/>
        <v>46464</v>
      </c>
      <c r="PD2" s="5">
        <f t="shared" si="13"/>
        <v>46465</v>
      </c>
      <c r="PE2" s="5">
        <f t="shared" si="13"/>
        <v>46466</v>
      </c>
      <c r="PF2" s="5">
        <f t="shared" si="13"/>
        <v>46467</v>
      </c>
      <c r="PG2" s="5">
        <f t="shared" si="13"/>
        <v>46468</v>
      </c>
      <c r="PH2" s="5">
        <f t="shared" si="13"/>
        <v>46469</v>
      </c>
      <c r="PI2" s="5">
        <f t="shared" si="13"/>
        <v>46470</v>
      </c>
      <c r="PJ2" s="5">
        <f t="shared" si="13"/>
        <v>46471</v>
      </c>
      <c r="PK2" s="5">
        <f t="shared" si="13"/>
        <v>46472</v>
      </c>
      <c r="PL2" s="5">
        <f t="shared" si="13"/>
        <v>46473</v>
      </c>
    </row>
    <row r="3" spans="1:428" s="6" customFormat="1">
      <c r="A3" s="9" t="s">
        <v>16</v>
      </c>
      <c r="D3" s="6" t="s">
        <v>16</v>
      </c>
      <c r="E3" s="15" t="s">
        <v>17</v>
      </c>
      <c r="F3" s="7" t="s">
        <v>18</v>
      </c>
      <c r="G3" s="7"/>
      <c r="H3" s="7"/>
      <c r="I3" s="7"/>
      <c r="J3" s="7">
        <v>46055</v>
      </c>
      <c r="K3" s="7">
        <v>46056</v>
      </c>
      <c r="L3" s="7">
        <v>46057</v>
      </c>
      <c r="M3" s="7">
        <v>46058</v>
      </c>
      <c r="N3" s="7">
        <v>46059</v>
      </c>
      <c r="O3" s="7">
        <v>46060</v>
      </c>
      <c r="P3" s="7">
        <v>46061</v>
      </c>
      <c r="Q3" s="7">
        <v>46062</v>
      </c>
      <c r="R3" s="7">
        <v>46063</v>
      </c>
      <c r="S3" s="7">
        <v>46064</v>
      </c>
      <c r="T3" s="7">
        <v>46065</v>
      </c>
      <c r="U3" s="7">
        <v>46066</v>
      </c>
      <c r="V3" s="7">
        <v>46067</v>
      </c>
      <c r="W3" s="7">
        <v>46068</v>
      </c>
      <c r="X3" s="7">
        <v>46069</v>
      </c>
      <c r="Y3" s="7">
        <v>46070</v>
      </c>
      <c r="Z3" s="7">
        <v>46071</v>
      </c>
      <c r="AA3" s="7">
        <v>46072</v>
      </c>
      <c r="AB3" s="7">
        <v>46073</v>
      </c>
      <c r="AC3" s="7">
        <v>46074</v>
      </c>
      <c r="AD3" s="7">
        <v>46075</v>
      </c>
      <c r="AE3" s="7">
        <v>46076</v>
      </c>
      <c r="AF3" s="7">
        <v>46077</v>
      </c>
      <c r="AG3" s="7">
        <v>46078</v>
      </c>
      <c r="AH3" s="7">
        <v>46079</v>
      </c>
      <c r="AI3" s="7">
        <v>46080</v>
      </c>
      <c r="AJ3" s="7">
        <v>46081</v>
      </c>
      <c r="AK3" s="7">
        <v>46082</v>
      </c>
      <c r="AL3" s="7">
        <v>46083</v>
      </c>
      <c r="AM3" s="7">
        <v>46084</v>
      </c>
      <c r="AN3" s="7">
        <v>46085</v>
      </c>
      <c r="AO3" s="7">
        <v>46086</v>
      </c>
      <c r="AP3" s="7">
        <v>46087</v>
      </c>
      <c r="AQ3" s="7">
        <v>46088</v>
      </c>
      <c r="AR3" s="7">
        <v>46089</v>
      </c>
      <c r="AS3" s="7">
        <v>46090</v>
      </c>
      <c r="AT3" s="7">
        <v>46091</v>
      </c>
      <c r="AU3" s="7">
        <v>46092</v>
      </c>
      <c r="AV3" s="7">
        <v>46093</v>
      </c>
      <c r="AW3" s="7">
        <v>46094</v>
      </c>
      <c r="AX3" s="7">
        <v>46095</v>
      </c>
      <c r="AY3" s="7">
        <v>46096</v>
      </c>
      <c r="AZ3" s="7">
        <v>46097</v>
      </c>
      <c r="BA3" s="7">
        <v>46098</v>
      </c>
      <c r="BB3" s="7">
        <v>46099</v>
      </c>
      <c r="BC3" s="7">
        <v>46100</v>
      </c>
      <c r="BD3" s="7">
        <v>46101</v>
      </c>
      <c r="BE3" s="7">
        <v>46102</v>
      </c>
      <c r="BF3" s="7">
        <v>46103</v>
      </c>
      <c r="BG3" s="7">
        <v>46104</v>
      </c>
      <c r="BH3" s="7">
        <v>46105</v>
      </c>
      <c r="BI3" s="7">
        <v>46106</v>
      </c>
      <c r="BJ3" s="7">
        <v>46107</v>
      </c>
      <c r="BK3" s="7">
        <v>46108</v>
      </c>
      <c r="BL3" s="7">
        <v>46109</v>
      </c>
      <c r="BM3" s="7">
        <v>46110</v>
      </c>
      <c r="BN3" s="7">
        <v>46111</v>
      </c>
      <c r="BO3" s="7">
        <v>46112</v>
      </c>
      <c r="BP3" s="7">
        <v>46113</v>
      </c>
      <c r="BQ3" s="7">
        <v>46114</v>
      </c>
      <c r="BR3" s="7">
        <v>46115</v>
      </c>
      <c r="BS3" s="7">
        <v>46116</v>
      </c>
      <c r="BT3" s="7">
        <v>46117</v>
      </c>
      <c r="BU3" s="7">
        <v>46118</v>
      </c>
      <c r="BV3" s="7">
        <v>46119</v>
      </c>
      <c r="BW3" s="7">
        <v>46120</v>
      </c>
      <c r="BX3" s="7">
        <v>46121</v>
      </c>
      <c r="BY3" s="7">
        <v>46122</v>
      </c>
      <c r="BZ3" s="7">
        <v>46123</v>
      </c>
      <c r="CA3" s="7">
        <v>46124</v>
      </c>
      <c r="CB3" s="7">
        <v>46125</v>
      </c>
      <c r="CC3" s="7">
        <v>46126</v>
      </c>
      <c r="CD3" s="7">
        <v>46127</v>
      </c>
      <c r="CE3" s="7">
        <v>46128</v>
      </c>
      <c r="CF3" s="7">
        <v>46129</v>
      </c>
      <c r="CG3" s="7">
        <v>46130</v>
      </c>
      <c r="CH3" s="7">
        <v>46131</v>
      </c>
      <c r="CI3" s="7">
        <v>46132</v>
      </c>
      <c r="CJ3" s="7">
        <v>46133</v>
      </c>
      <c r="CK3" s="7">
        <v>46134</v>
      </c>
      <c r="CL3" s="7">
        <v>46135</v>
      </c>
      <c r="CM3" s="7">
        <v>46136</v>
      </c>
      <c r="CN3" s="7">
        <v>46137</v>
      </c>
      <c r="CO3" s="7">
        <v>46138</v>
      </c>
      <c r="CP3" s="7">
        <v>46139</v>
      </c>
      <c r="CQ3" s="7">
        <v>46140</v>
      </c>
      <c r="CR3" s="7">
        <v>46141</v>
      </c>
      <c r="CS3" s="7">
        <v>46142</v>
      </c>
      <c r="CT3" s="7">
        <v>46143</v>
      </c>
      <c r="CU3" s="7">
        <v>46144</v>
      </c>
      <c r="CV3" s="7">
        <v>46145</v>
      </c>
      <c r="CW3" s="7">
        <v>46146</v>
      </c>
      <c r="CX3" s="7">
        <v>46147</v>
      </c>
      <c r="CY3" s="7">
        <v>46148</v>
      </c>
      <c r="CZ3" s="7">
        <v>46149</v>
      </c>
      <c r="DA3" s="7">
        <v>46150</v>
      </c>
      <c r="DB3" s="7">
        <v>46151</v>
      </c>
      <c r="DC3" s="7">
        <v>46152</v>
      </c>
      <c r="DD3" s="7">
        <v>46153</v>
      </c>
      <c r="DE3" s="7">
        <v>46154</v>
      </c>
      <c r="DF3" s="7">
        <v>46155</v>
      </c>
      <c r="DG3" s="7">
        <v>46156</v>
      </c>
      <c r="DH3" s="7">
        <v>46157</v>
      </c>
      <c r="DI3" s="7">
        <v>46158</v>
      </c>
      <c r="DJ3" s="7">
        <v>46159</v>
      </c>
      <c r="DK3" s="7">
        <v>46160</v>
      </c>
      <c r="DL3" s="7">
        <v>46161</v>
      </c>
      <c r="DM3" s="7">
        <v>46162</v>
      </c>
      <c r="DN3" s="7">
        <v>46163</v>
      </c>
      <c r="DO3" s="7">
        <v>46164</v>
      </c>
      <c r="DP3" s="8">
        <v>46165</v>
      </c>
      <c r="DQ3" s="7">
        <v>46166</v>
      </c>
      <c r="DR3" s="7">
        <v>46167</v>
      </c>
      <c r="DS3" s="7">
        <v>46168</v>
      </c>
      <c r="DT3" s="7">
        <v>46169</v>
      </c>
      <c r="DU3" s="7">
        <v>46170</v>
      </c>
      <c r="DV3" s="7">
        <v>46171</v>
      </c>
      <c r="DW3" s="7">
        <v>46172</v>
      </c>
      <c r="DX3" s="7">
        <v>46173</v>
      </c>
      <c r="DY3" s="7">
        <v>46174</v>
      </c>
      <c r="DZ3" s="7">
        <v>46175</v>
      </c>
      <c r="EA3" s="7">
        <v>46176</v>
      </c>
      <c r="EB3" s="7">
        <v>46177</v>
      </c>
      <c r="EC3" s="7">
        <v>46178</v>
      </c>
      <c r="ED3" s="8">
        <v>46179</v>
      </c>
      <c r="EE3" s="7">
        <v>46180</v>
      </c>
      <c r="EF3" s="7">
        <v>46181</v>
      </c>
      <c r="EG3" s="7">
        <v>46182</v>
      </c>
      <c r="EH3" s="7">
        <v>46183</v>
      </c>
      <c r="EI3" s="7">
        <v>46184</v>
      </c>
      <c r="EJ3" s="7">
        <v>46185</v>
      </c>
      <c r="EK3" s="7">
        <v>46186</v>
      </c>
      <c r="EL3" s="7">
        <v>46187</v>
      </c>
      <c r="EM3" s="7">
        <v>46188</v>
      </c>
      <c r="EN3" s="7">
        <v>46189</v>
      </c>
      <c r="EO3" s="7">
        <v>46190</v>
      </c>
      <c r="EP3" s="7">
        <v>46191</v>
      </c>
      <c r="EQ3" s="7">
        <v>46192</v>
      </c>
      <c r="ER3" s="8">
        <v>46193</v>
      </c>
      <c r="ES3" s="7">
        <v>46194</v>
      </c>
      <c r="ET3" s="7">
        <v>46195</v>
      </c>
      <c r="EU3" s="7">
        <v>46196</v>
      </c>
      <c r="EV3" s="7">
        <v>46197</v>
      </c>
      <c r="EW3" s="7">
        <v>46198</v>
      </c>
      <c r="EX3" s="7">
        <v>46199</v>
      </c>
      <c r="EY3" s="7">
        <v>46200</v>
      </c>
      <c r="EZ3" s="7">
        <v>46201</v>
      </c>
      <c r="FA3" s="7">
        <v>46202</v>
      </c>
      <c r="FB3" s="7">
        <v>46203</v>
      </c>
      <c r="FC3" s="7">
        <v>46204</v>
      </c>
      <c r="FD3" s="7">
        <v>46205</v>
      </c>
      <c r="FE3" s="7">
        <v>46206</v>
      </c>
      <c r="FF3" s="8">
        <v>46207</v>
      </c>
      <c r="FG3" s="7">
        <v>46208</v>
      </c>
      <c r="FH3" s="7">
        <v>46209</v>
      </c>
      <c r="FI3" s="7">
        <v>46210</v>
      </c>
      <c r="FJ3" s="7">
        <v>46211</v>
      </c>
      <c r="FK3" s="7">
        <v>46212</v>
      </c>
      <c r="FL3" s="7">
        <v>46213</v>
      </c>
      <c r="FM3" s="7">
        <v>46214</v>
      </c>
      <c r="FN3" s="7">
        <v>46215</v>
      </c>
      <c r="FO3" s="7">
        <v>46216</v>
      </c>
      <c r="FP3" s="7">
        <v>46217</v>
      </c>
      <c r="FQ3" s="7">
        <v>46218</v>
      </c>
      <c r="FR3" s="7">
        <v>46219</v>
      </c>
      <c r="FS3" s="7">
        <v>46220</v>
      </c>
      <c r="FT3" s="8">
        <v>46221</v>
      </c>
      <c r="FU3" s="7">
        <v>46222</v>
      </c>
      <c r="FV3" s="7">
        <v>46223</v>
      </c>
      <c r="FW3" s="7">
        <v>46224</v>
      </c>
      <c r="FX3" s="7">
        <v>46225</v>
      </c>
      <c r="FY3" s="7">
        <v>46226</v>
      </c>
      <c r="FZ3" s="7">
        <v>46227</v>
      </c>
      <c r="GA3" s="7">
        <v>46228</v>
      </c>
      <c r="GB3" s="7">
        <v>46229</v>
      </c>
      <c r="GC3" s="7">
        <v>46230</v>
      </c>
      <c r="GD3" s="7">
        <v>46231</v>
      </c>
      <c r="GE3" s="7">
        <v>46232</v>
      </c>
      <c r="GF3" s="7">
        <v>46233</v>
      </c>
      <c r="GG3" s="7">
        <v>46234</v>
      </c>
      <c r="GH3" s="8">
        <v>46235</v>
      </c>
      <c r="GI3" s="7">
        <v>46236</v>
      </c>
      <c r="GJ3" s="7">
        <v>46237</v>
      </c>
      <c r="GK3" s="7">
        <v>46238</v>
      </c>
      <c r="GL3" s="7">
        <v>46239</v>
      </c>
      <c r="GM3" s="7">
        <v>46240</v>
      </c>
      <c r="GN3" s="7">
        <v>46241</v>
      </c>
      <c r="GO3" s="7">
        <v>46242</v>
      </c>
      <c r="GP3" s="7">
        <v>46243</v>
      </c>
      <c r="GQ3" s="7">
        <v>46244</v>
      </c>
      <c r="GR3" s="7">
        <v>46245</v>
      </c>
      <c r="GS3" s="7">
        <v>46246</v>
      </c>
      <c r="GT3" s="7">
        <v>46247</v>
      </c>
      <c r="GU3" s="7">
        <v>46248</v>
      </c>
      <c r="GV3" s="8">
        <v>46249</v>
      </c>
      <c r="GW3" s="7">
        <v>46250</v>
      </c>
      <c r="GX3" s="7">
        <v>46251</v>
      </c>
      <c r="GY3" s="7">
        <v>46252</v>
      </c>
      <c r="GZ3" s="7">
        <v>46253</v>
      </c>
      <c r="HA3" s="7">
        <v>46254</v>
      </c>
      <c r="HB3" s="7">
        <v>46255</v>
      </c>
      <c r="HC3" s="7">
        <v>46256</v>
      </c>
      <c r="HD3" s="7">
        <v>46257</v>
      </c>
      <c r="HE3" s="7">
        <v>46258</v>
      </c>
      <c r="HF3" s="7">
        <v>46259</v>
      </c>
      <c r="HG3" s="7">
        <v>46260</v>
      </c>
      <c r="HH3" s="7">
        <v>46261</v>
      </c>
      <c r="HI3" s="7">
        <v>46262</v>
      </c>
      <c r="HJ3" s="8">
        <v>46263</v>
      </c>
      <c r="HK3" s="7">
        <v>46264</v>
      </c>
      <c r="HL3" s="7">
        <v>46265</v>
      </c>
      <c r="HM3" s="7">
        <v>46266</v>
      </c>
      <c r="HN3" s="7">
        <v>46267</v>
      </c>
      <c r="HO3" s="7">
        <v>46268</v>
      </c>
      <c r="HP3" s="7">
        <v>46269</v>
      </c>
      <c r="HQ3" s="7">
        <v>46270</v>
      </c>
      <c r="HR3" s="7">
        <v>46271</v>
      </c>
      <c r="HS3" s="7">
        <v>46272</v>
      </c>
      <c r="HT3" s="7">
        <v>46273</v>
      </c>
      <c r="HU3" s="7">
        <v>46274</v>
      </c>
      <c r="HV3" s="7">
        <v>46275</v>
      </c>
      <c r="HW3" s="7">
        <v>46276</v>
      </c>
      <c r="HX3" s="8">
        <v>46277</v>
      </c>
      <c r="HY3" s="7">
        <v>46278</v>
      </c>
      <c r="HZ3" s="7">
        <v>46279</v>
      </c>
      <c r="IA3" s="7">
        <v>46280</v>
      </c>
      <c r="IB3" s="7">
        <v>46281</v>
      </c>
      <c r="IC3" s="7">
        <v>46282</v>
      </c>
      <c r="ID3" s="7">
        <v>46283</v>
      </c>
      <c r="IE3" s="7">
        <v>46284</v>
      </c>
      <c r="IF3" s="7">
        <v>46285</v>
      </c>
      <c r="IG3" s="7">
        <v>46286</v>
      </c>
      <c r="IH3" s="7">
        <v>46287</v>
      </c>
      <c r="II3" s="7">
        <v>46288</v>
      </c>
      <c r="IJ3" s="7">
        <v>46289</v>
      </c>
      <c r="IK3" s="7">
        <v>46290</v>
      </c>
      <c r="IL3" s="8">
        <v>46291</v>
      </c>
      <c r="IM3" s="7">
        <v>46292</v>
      </c>
      <c r="IN3" s="7">
        <v>46293</v>
      </c>
      <c r="IO3" s="7">
        <v>46294</v>
      </c>
      <c r="IP3" s="7">
        <v>46295</v>
      </c>
      <c r="IQ3" s="7">
        <v>46296</v>
      </c>
      <c r="IR3" s="7">
        <v>46297</v>
      </c>
      <c r="IS3" s="7">
        <v>46298</v>
      </c>
      <c r="IT3" s="7">
        <v>46299</v>
      </c>
      <c r="IU3" s="7">
        <v>46300</v>
      </c>
      <c r="IV3" s="7">
        <v>46301</v>
      </c>
      <c r="IW3" s="7">
        <v>46302</v>
      </c>
      <c r="IX3" s="7">
        <v>46303</v>
      </c>
      <c r="IY3" s="7">
        <v>46304</v>
      </c>
      <c r="IZ3" s="8">
        <v>46305</v>
      </c>
      <c r="JA3" s="7">
        <v>46306</v>
      </c>
      <c r="JB3" s="7">
        <v>46307</v>
      </c>
      <c r="JC3" s="7">
        <v>46308</v>
      </c>
      <c r="JD3" s="7">
        <v>46309</v>
      </c>
      <c r="JE3" s="7">
        <v>46310</v>
      </c>
      <c r="JF3" s="7">
        <v>46311</v>
      </c>
      <c r="JG3" s="7">
        <v>46312</v>
      </c>
      <c r="JH3" s="7">
        <v>46313</v>
      </c>
      <c r="JI3" s="7">
        <v>46314</v>
      </c>
      <c r="JJ3" s="7">
        <v>46315</v>
      </c>
      <c r="JK3" s="7">
        <v>46316</v>
      </c>
      <c r="JL3" s="7">
        <v>46317</v>
      </c>
      <c r="JM3" s="7">
        <v>46318</v>
      </c>
      <c r="JN3" s="8">
        <v>46319</v>
      </c>
      <c r="JO3" s="7">
        <v>46320</v>
      </c>
      <c r="JP3" s="7">
        <v>46321</v>
      </c>
      <c r="JQ3" s="7">
        <v>46322</v>
      </c>
      <c r="JR3" s="7">
        <v>46323</v>
      </c>
      <c r="JS3" s="7">
        <v>46324</v>
      </c>
      <c r="JT3" s="7">
        <v>46325</v>
      </c>
      <c r="JU3" s="7">
        <v>46326</v>
      </c>
      <c r="JV3" s="7">
        <v>46327</v>
      </c>
      <c r="JW3" s="7">
        <v>46328</v>
      </c>
      <c r="JX3" s="7">
        <v>46329</v>
      </c>
      <c r="JY3" s="7">
        <v>46330</v>
      </c>
      <c r="JZ3" s="7">
        <v>46331</v>
      </c>
      <c r="KA3" s="7">
        <v>46332</v>
      </c>
      <c r="KB3" s="8">
        <v>46333</v>
      </c>
      <c r="KC3" s="7">
        <v>46334</v>
      </c>
      <c r="KD3" s="7">
        <v>46335</v>
      </c>
      <c r="KE3" s="7">
        <v>46336</v>
      </c>
      <c r="KF3" s="7">
        <v>46337</v>
      </c>
      <c r="KG3" s="7">
        <v>46338</v>
      </c>
      <c r="KH3" s="7">
        <v>46339</v>
      </c>
      <c r="KI3" s="7">
        <v>46340</v>
      </c>
      <c r="KJ3" s="7">
        <v>46341</v>
      </c>
      <c r="KK3" s="7">
        <v>46342</v>
      </c>
      <c r="KL3" s="7">
        <v>46343</v>
      </c>
      <c r="KM3" s="7">
        <v>46344</v>
      </c>
      <c r="KN3" s="7">
        <v>46345</v>
      </c>
      <c r="KO3" s="7">
        <v>46346</v>
      </c>
      <c r="KP3" s="8">
        <v>46347</v>
      </c>
      <c r="KQ3" s="7">
        <v>46348</v>
      </c>
      <c r="KR3" s="7">
        <v>46349</v>
      </c>
      <c r="KS3" s="7">
        <v>46350</v>
      </c>
      <c r="KT3" s="7">
        <v>46351</v>
      </c>
      <c r="KU3" s="7">
        <v>46352</v>
      </c>
      <c r="KV3" s="7">
        <v>46353</v>
      </c>
      <c r="KW3" s="7">
        <v>46354</v>
      </c>
      <c r="KX3" s="7">
        <v>46355</v>
      </c>
      <c r="KY3" s="7">
        <v>46356</v>
      </c>
      <c r="KZ3" s="7">
        <v>46357</v>
      </c>
      <c r="LA3" s="7">
        <v>46358</v>
      </c>
      <c r="LB3" s="7">
        <v>46359</v>
      </c>
      <c r="LC3" s="7">
        <v>46360</v>
      </c>
      <c r="LD3" s="8">
        <v>46361</v>
      </c>
      <c r="LE3" s="7">
        <v>46362</v>
      </c>
      <c r="LF3" s="7">
        <v>46363</v>
      </c>
      <c r="LG3" s="7">
        <v>46364</v>
      </c>
      <c r="LH3" s="7">
        <v>46365</v>
      </c>
      <c r="LI3" s="7">
        <v>46366</v>
      </c>
      <c r="LJ3" s="7">
        <v>46367</v>
      </c>
      <c r="LK3" s="7">
        <v>46368</v>
      </c>
      <c r="LL3" s="7">
        <v>46369</v>
      </c>
      <c r="LM3" s="7">
        <v>46370</v>
      </c>
      <c r="LN3" s="7">
        <v>46371</v>
      </c>
      <c r="LO3" s="7">
        <v>46372</v>
      </c>
      <c r="LP3" s="7">
        <v>46373</v>
      </c>
      <c r="LQ3" s="7">
        <v>46374</v>
      </c>
      <c r="LR3" s="8">
        <v>46375</v>
      </c>
      <c r="LS3" s="7">
        <v>46376</v>
      </c>
      <c r="LT3" s="7">
        <v>46377</v>
      </c>
      <c r="LU3" s="7">
        <v>46378</v>
      </c>
      <c r="LV3" s="7">
        <v>46379</v>
      </c>
      <c r="LW3" s="7">
        <v>46380</v>
      </c>
      <c r="LX3" s="7">
        <v>46381</v>
      </c>
      <c r="LY3" s="7">
        <v>46382</v>
      </c>
      <c r="LZ3" s="7">
        <v>46383</v>
      </c>
      <c r="MA3" s="7">
        <v>46384</v>
      </c>
      <c r="MB3" s="7">
        <v>46385</v>
      </c>
      <c r="MC3" s="7">
        <v>46386</v>
      </c>
      <c r="MD3" s="7">
        <v>46387</v>
      </c>
      <c r="ME3" s="7">
        <v>46388</v>
      </c>
      <c r="MF3" s="8">
        <v>46389</v>
      </c>
      <c r="MG3" s="7">
        <v>46390</v>
      </c>
      <c r="MH3" s="7">
        <v>46391</v>
      </c>
      <c r="MI3" s="7">
        <v>46392</v>
      </c>
      <c r="MJ3" s="7">
        <v>46393</v>
      </c>
      <c r="MK3" s="7">
        <v>46394</v>
      </c>
      <c r="ML3" s="7">
        <v>46395</v>
      </c>
      <c r="MM3" s="7">
        <v>46396</v>
      </c>
      <c r="MN3" s="7">
        <v>46397</v>
      </c>
      <c r="MO3" s="7">
        <v>46398</v>
      </c>
      <c r="MP3" s="7">
        <v>46399</v>
      </c>
      <c r="MQ3" s="7">
        <v>46400</v>
      </c>
      <c r="MR3" s="7">
        <v>46401</v>
      </c>
      <c r="MS3" s="7">
        <v>46402</v>
      </c>
      <c r="MT3" s="8">
        <v>46403</v>
      </c>
      <c r="MU3" s="7">
        <v>46404</v>
      </c>
      <c r="MV3" s="7">
        <v>46405</v>
      </c>
      <c r="MW3" s="7">
        <v>46406</v>
      </c>
      <c r="MX3" s="7">
        <v>46407</v>
      </c>
      <c r="MY3" s="7">
        <v>46408</v>
      </c>
      <c r="MZ3" s="7">
        <v>46409</v>
      </c>
      <c r="NA3" s="7">
        <v>46410</v>
      </c>
      <c r="NB3" s="7">
        <v>46411</v>
      </c>
      <c r="NC3" s="7">
        <v>46412</v>
      </c>
      <c r="ND3" s="7">
        <v>46413</v>
      </c>
      <c r="NE3" s="7">
        <v>46414</v>
      </c>
      <c r="NF3" s="7">
        <v>46415</v>
      </c>
      <c r="NG3" s="7">
        <v>46416</v>
      </c>
      <c r="NH3" s="8">
        <v>46417</v>
      </c>
      <c r="NI3" s="7">
        <v>46418</v>
      </c>
      <c r="NJ3" s="7">
        <v>46419</v>
      </c>
      <c r="NK3" s="7">
        <v>46420</v>
      </c>
      <c r="NL3" s="7">
        <v>46421</v>
      </c>
      <c r="NM3" s="7">
        <v>46422</v>
      </c>
      <c r="NN3" s="7">
        <v>46423</v>
      </c>
      <c r="NO3" s="7">
        <v>46424</v>
      </c>
      <c r="NP3" s="7">
        <v>46425</v>
      </c>
      <c r="NQ3" s="7">
        <v>46426</v>
      </c>
      <c r="NR3" s="7">
        <v>46427</v>
      </c>
      <c r="NS3" s="7">
        <v>46428</v>
      </c>
      <c r="NT3" s="7">
        <v>46429</v>
      </c>
      <c r="NU3" s="7">
        <v>46430</v>
      </c>
      <c r="NV3" s="8">
        <v>46431</v>
      </c>
      <c r="NW3" s="7">
        <v>46432</v>
      </c>
      <c r="NX3" s="7">
        <v>46433</v>
      </c>
      <c r="NY3" s="7">
        <v>46434</v>
      </c>
      <c r="NZ3" s="7">
        <v>46435</v>
      </c>
      <c r="OA3" s="7">
        <v>46436</v>
      </c>
      <c r="OB3" s="7">
        <v>46437</v>
      </c>
      <c r="OC3" s="7">
        <v>46438</v>
      </c>
      <c r="OD3" s="7">
        <v>46439</v>
      </c>
      <c r="OE3" s="7">
        <v>46440</v>
      </c>
      <c r="OF3" s="7">
        <v>46441</v>
      </c>
      <c r="OG3" s="7">
        <v>46442</v>
      </c>
      <c r="OH3" s="7">
        <v>46443</v>
      </c>
      <c r="OI3" s="7">
        <v>46444</v>
      </c>
      <c r="OJ3" s="8">
        <v>46445</v>
      </c>
      <c r="OK3" s="7">
        <v>46446</v>
      </c>
      <c r="OL3" s="7">
        <v>46447</v>
      </c>
      <c r="OM3" s="7">
        <v>46448</v>
      </c>
      <c r="ON3" s="7">
        <v>46449</v>
      </c>
      <c r="OO3" s="7">
        <v>46450</v>
      </c>
      <c r="OP3" s="7">
        <v>46451</v>
      </c>
      <c r="OQ3" s="7">
        <v>46452</v>
      </c>
      <c r="OR3" s="7">
        <v>46453</v>
      </c>
      <c r="OS3" s="7">
        <v>46454</v>
      </c>
      <c r="OT3" s="7">
        <v>46455</v>
      </c>
      <c r="OU3" s="7">
        <v>46456</v>
      </c>
      <c r="OV3" s="7">
        <v>46457</v>
      </c>
      <c r="OW3" s="7">
        <v>46458</v>
      </c>
      <c r="OX3" s="8">
        <v>46459</v>
      </c>
      <c r="OY3" s="7">
        <v>46460</v>
      </c>
      <c r="OZ3" s="7">
        <v>46461</v>
      </c>
      <c r="PA3" s="7">
        <v>46462</v>
      </c>
      <c r="PB3" s="7">
        <v>46463</v>
      </c>
      <c r="PC3" s="7">
        <v>46464</v>
      </c>
      <c r="PD3" s="7">
        <v>46465</v>
      </c>
      <c r="PE3" s="7">
        <v>46466</v>
      </c>
      <c r="PF3" s="7">
        <v>46467</v>
      </c>
      <c r="PG3" s="7">
        <v>46468</v>
      </c>
      <c r="PH3" s="7">
        <v>46469</v>
      </c>
      <c r="PI3" s="7">
        <v>46470</v>
      </c>
      <c r="PJ3" s="7">
        <v>46471</v>
      </c>
      <c r="PK3" s="7">
        <v>46472</v>
      </c>
      <c r="PL3" s="8">
        <v>46473</v>
      </c>
    </row>
    <row r="4" spans="1:428" s="9" customFormat="1" ht="12.25" customHeight="1" thickBot="1">
      <c r="A4" s="20" t="s">
        <v>19</v>
      </c>
      <c r="B4" s="9" t="s">
        <v>35</v>
      </c>
      <c r="D4" s="12" t="s">
        <v>35</v>
      </c>
      <c r="E4" s="10" t="s">
        <v>13</v>
      </c>
      <c r="F4" s="11" t="s">
        <v>22</v>
      </c>
      <c r="G4" s="11" t="s">
        <v>23</v>
      </c>
      <c r="H4" s="11" t="s">
        <v>25</v>
      </c>
      <c r="I4" s="11"/>
      <c r="J4" s="11">
        <f t="shared" ref="J4:BU4" si="14">SUM(J5:J37)</f>
        <v>0</v>
      </c>
      <c r="K4" s="11">
        <f t="shared" si="14"/>
        <v>0</v>
      </c>
      <c r="L4" s="11">
        <f t="shared" si="14"/>
        <v>0</v>
      </c>
      <c r="M4" s="11">
        <f t="shared" si="14"/>
        <v>0</v>
      </c>
      <c r="N4" s="11">
        <f t="shared" si="14"/>
        <v>0</v>
      </c>
      <c r="O4" s="11">
        <f t="shared" si="14"/>
        <v>0</v>
      </c>
      <c r="P4" s="11">
        <f t="shared" si="14"/>
        <v>0</v>
      </c>
      <c r="Q4" s="11">
        <f t="shared" si="14"/>
        <v>0</v>
      </c>
      <c r="R4" s="11">
        <f t="shared" si="14"/>
        <v>0</v>
      </c>
      <c r="S4" s="11">
        <f t="shared" si="14"/>
        <v>0</v>
      </c>
      <c r="T4" s="11">
        <f t="shared" si="14"/>
        <v>0</v>
      </c>
      <c r="U4" s="11">
        <f t="shared" si="14"/>
        <v>0</v>
      </c>
      <c r="V4" s="11">
        <f t="shared" si="14"/>
        <v>0</v>
      </c>
      <c r="W4" s="11">
        <f t="shared" si="14"/>
        <v>0</v>
      </c>
      <c r="X4" s="11">
        <f t="shared" si="14"/>
        <v>0</v>
      </c>
      <c r="Y4" s="11">
        <f t="shared" si="14"/>
        <v>0</v>
      </c>
      <c r="Z4" s="11">
        <f t="shared" si="14"/>
        <v>0</v>
      </c>
      <c r="AA4" s="11">
        <f t="shared" si="14"/>
        <v>0</v>
      </c>
      <c r="AB4" s="11">
        <f t="shared" si="14"/>
        <v>0</v>
      </c>
      <c r="AC4" s="11">
        <f t="shared" si="14"/>
        <v>0</v>
      </c>
      <c r="AD4" s="11">
        <f t="shared" si="14"/>
        <v>0</v>
      </c>
      <c r="AE4" s="11">
        <f t="shared" si="14"/>
        <v>0</v>
      </c>
      <c r="AF4" s="11">
        <f t="shared" si="14"/>
        <v>0</v>
      </c>
      <c r="AG4" s="11">
        <f t="shared" si="14"/>
        <v>0</v>
      </c>
      <c r="AH4" s="11">
        <f t="shared" si="14"/>
        <v>0</v>
      </c>
      <c r="AI4" s="11">
        <f t="shared" si="14"/>
        <v>0</v>
      </c>
      <c r="AJ4" s="11">
        <f t="shared" si="14"/>
        <v>0</v>
      </c>
      <c r="AK4" s="11">
        <f t="shared" si="14"/>
        <v>0</v>
      </c>
      <c r="AL4" s="11">
        <f t="shared" si="14"/>
        <v>0</v>
      </c>
      <c r="AM4" s="11">
        <f t="shared" si="14"/>
        <v>0</v>
      </c>
      <c r="AN4" s="11">
        <f t="shared" si="14"/>
        <v>0</v>
      </c>
      <c r="AO4" s="11">
        <f t="shared" si="14"/>
        <v>0</v>
      </c>
      <c r="AP4" s="11">
        <f t="shared" si="14"/>
        <v>0</v>
      </c>
      <c r="AQ4" s="11">
        <f t="shared" si="14"/>
        <v>0</v>
      </c>
      <c r="AR4" s="11">
        <f t="shared" si="14"/>
        <v>0</v>
      </c>
      <c r="AS4" s="11">
        <f t="shared" si="14"/>
        <v>0</v>
      </c>
      <c r="AT4" s="11">
        <f t="shared" si="14"/>
        <v>0</v>
      </c>
      <c r="AU4" s="11">
        <f t="shared" si="14"/>
        <v>0</v>
      </c>
      <c r="AV4" s="11">
        <f t="shared" si="14"/>
        <v>0</v>
      </c>
      <c r="AW4" s="11">
        <f t="shared" si="14"/>
        <v>0</v>
      </c>
      <c r="AX4" s="11">
        <f t="shared" si="14"/>
        <v>0</v>
      </c>
      <c r="AY4" s="11">
        <f t="shared" si="14"/>
        <v>0</v>
      </c>
      <c r="AZ4" s="11">
        <f t="shared" si="14"/>
        <v>0</v>
      </c>
      <c r="BA4" s="11">
        <f t="shared" si="14"/>
        <v>0</v>
      </c>
      <c r="BB4" s="11">
        <f t="shared" si="14"/>
        <v>0</v>
      </c>
      <c r="BC4" s="11">
        <f t="shared" si="14"/>
        <v>0</v>
      </c>
      <c r="BD4" s="11">
        <f t="shared" si="14"/>
        <v>0</v>
      </c>
      <c r="BE4" s="11">
        <f t="shared" si="14"/>
        <v>0</v>
      </c>
      <c r="BF4" s="11">
        <f t="shared" si="14"/>
        <v>0</v>
      </c>
      <c r="BG4" s="11">
        <f t="shared" si="14"/>
        <v>0</v>
      </c>
      <c r="BH4" s="11">
        <f t="shared" si="14"/>
        <v>0</v>
      </c>
      <c r="BI4" s="11">
        <f t="shared" si="14"/>
        <v>0</v>
      </c>
      <c r="BJ4" s="11">
        <f t="shared" si="14"/>
        <v>0</v>
      </c>
      <c r="BK4" s="11">
        <f t="shared" si="14"/>
        <v>0</v>
      </c>
      <c r="BL4" s="11">
        <f t="shared" si="14"/>
        <v>0</v>
      </c>
      <c r="BM4" s="11">
        <f t="shared" si="14"/>
        <v>0</v>
      </c>
      <c r="BN4" s="11">
        <f t="shared" si="14"/>
        <v>0</v>
      </c>
      <c r="BO4" s="11">
        <f t="shared" si="14"/>
        <v>0</v>
      </c>
      <c r="BP4" s="11">
        <f t="shared" si="14"/>
        <v>0</v>
      </c>
      <c r="BQ4" s="11">
        <f t="shared" si="14"/>
        <v>0</v>
      </c>
      <c r="BR4" s="11">
        <f t="shared" si="14"/>
        <v>0</v>
      </c>
      <c r="BS4" s="11">
        <f t="shared" si="14"/>
        <v>2657</v>
      </c>
      <c r="BT4" s="11">
        <f t="shared" si="14"/>
        <v>2657</v>
      </c>
      <c r="BU4" s="11">
        <f t="shared" si="14"/>
        <v>2827</v>
      </c>
      <c r="BV4" s="11">
        <f t="shared" ref="BV4:EG4" si="15">SUM(BV5:BV37)</f>
        <v>2827</v>
      </c>
      <c r="BW4" s="11">
        <f t="shared" si="15"/>
        <v>3927</v>
      </c>
      <c r="BX4" s="11">
        <f t="shared" si="15"/>
        <v>5252</v>
      </c>
      <c r="BY4" s="11">
        <f t="shared" si="15"/>
        <v>5252</v>
      </c>
      <c r="BZ4" s="11">
        <f t="shared" si="15"/>
        <v>11498</v>
      </c>
      <c r="CA4" s="11">
        <f t="shared" si="15"/>
        <v>13457</v>
      </c>
      <c r="CB4" s="11">
        <f t="shared" si="15"/>
        <v>13457</v>
      </c>
      <c r="CC4" s="11">
        <f t="shared" si="15"/>
        <v>14805</v>
      </c>
      <c r="CD4" s="11">
        <f t="shared" si="15"/>
        <v>15375</v>
      </c>
      <c r="CE4" s="11">
        <f t="shared" si="15"/>
        <v>12070</v>
      </c>
      <c r="CF4" s="11">
        <f t="shared" si="15"/>
        <v>12750</v>
      </c>
      <c r="CG4" s="11">
        <f t="shared" si="15"/>
        <v>12982</v>
      </c>
      <c r="CH4" s="11">
        <f t="shared" si="15"/>
        <v>12982</v>
      </c>
      <c r="CI4" s="11">
        <f t="shared" si="15"/>
        <v>9209</v>
      </c>
      <c r="CJ4" s="11">
        <f t="shared" si="15"/>
        <v>12070</v>
      </c>
      <c r="CK4" s="11">
        <f t="shared" si="15"/>
        <v>16916</v>
      </c>
      <c r="CL4" s="11">
        <f t="shared" si="15"/>
        <v>26308</v>
      </c>
      <c r="CM4" s="11">
        <f t="shared" si="15"/>
        <v>25503</v>
      </c>
      <c r="CN4" s="11">
        <f t="shared" si="15"/>
        <v>31599</v>
      </c>
      <c r="CO4" s="11">
        <f t="shared" si="15"/>
        <v>37110</v>
      </c>
      <c r="CP4" s="11">
        <f t="shared" si="15"/>
        <v>40279</v>
      </c>
      <c r="CQ4" s="11">
        <f t="shared" si="15"/>
        <v>45603</v>
      </c>
      <c r="CR4" s="11">
        <f t="shared" si="15"/>
        <v>66382</v>
      </c>
      <c r="CS4" s="11">
        <f t="shared" si="15"/>
        <v>66382</v>
      </c>
      <c r="CT4" s="11">
        <f t="shared" si="15"/>
        <v>71001</v>
      </c>
      <c r="CU4" s="11">
        <f t="shared" si="15"/>
        <v>93705</v>
      </c>
      <c r="CV4" s="11">
        <f t="shared" si="15"/>
        <v>98913</v>
      </c>
      <c r="CW4" s="11">
        <f t="shared" si="15"/>
        <v>107479</v>
      </c>
      <c r="CX4" s="11">
        <f t="shared" si="15"/>
        <v>120409</v>
      </c>
      <c r="CY4" s="11">
        <f t="shared" si="15"/>
        <v>132600</v>
      </c>
      <c r="CZ4" s="11">
        <f t="shared" si="15"/>
        <v>154015</v>
      </c>
      <c r="DA4" s="11">
        <f t="shared" si="15"/>
        <v>178335</v>
      </c>
      <c r="DB4" s="11">
        <f t="shared" si="15"/>
        <v>197982</v>
      </c>
      <c r="DC4" s="11">
        <f t="shared" si="15"/>
        <v>205179</v>
      </c>
      <c r="DD4" s="11">
        <f t="shared" si="15"/>
        <v>218172</v>
      </c>
      <c r="DE4" s="11">
        <f t="shared" si="15"/>
        <v>224795</v>
      </c>
      <c r="DF4" s="11">
        <f t="shared" si="15"/>
        <v>228131</v>
      </c>
      <c r="DG4" s="11">
        <f t="shared" si="15"/>
        <v>256053</v>
      </c>
      <c r="DH4" s="11">
        <f t="shared" si="15"/>
        <v>270113</v>
      </c>
      <c r="DI4" s="11">
        <f t="shared" si="15"/>
        <v>288299</v>
      </c>
      <c r="DJ4" s="11">
        <f t="shared" si="15"/>
        <v>295285</v>
      </c>
      <c r="DK4" s="11">
        <f t="shared" si="15"/>
        <v>325959</v>
      </c>
      <c r="DL4" s="11">
        <f t="shared" si="15"/>
        <v>347521</v>
      </c>
      <c r="DM4" s="11">
        <f t="shared" si="15"/>
        <v>370611</v>
      </c>
      <c r="DN4" s="11">
        <f t="shared" si="15"/>
        <v>377689</v>
      </c>
      <c r="DO4" s="11">
        <f t="shared" si="15"/>
        <v>401772</v>
      </c>
      <c r="DP4" s="11">
        <f t="shared" si="15"/>
        <v>433479</v>
      </c>
      <c r="DQ4" s="11">
        <f t="shared" si="15"/>
        <v>467850</v>
      </c>
      <c r="DR4" s="11">
        <f t="shared" si="15"/>
        <v>517286</v>
      </c>
      <c r="DS4" s="11">
        <f t="shared" si="15"/>
        <v>556498</v>
      </c>
      <c r="DT4" s="11">
        <f t="shared" si="15"/>
        <v>599682</v>
      </c>
      <c r="DU4" s="11">
        <f t="shared" si="15"/>
        <v>544058</v>
      </c>
      <c r="DV4" s="11">
        <f t="shared" si="15"/>
        <v>552456</v>
      </c>
      <c r="DW4" s="11">
        <f t="shared" si="15"/>
        <v>587474</v>
      </c>
      <c r="DX4" s="11">
        <f t="shared" si="15"/>
        <v>588631</v>
      </c>
      <c r="DY4" s="11">
        <f t="shared" si="15"/>
        <v>604693</v>
      </c>
      <c r="DZ4" s="11">
        <f t="shared" si="15"/>
        <v>613308</v>
      </c>
      <c r="EA4" s="11">
        <f t="shared" si="15"/>
        <v>621138</v>
      </c>
      <c r="EB4" s="11">
        <f t="shared" si="15"/>
        <v>625238</v>
      </c>
      <c r="EC4" s="11">
        <f t="shared" si="15"/>
        <v>626183</v>
      </c>
      <c r="ED4" s="11">
        <f t="shared" si="15"/>
        <v>667788</v>
      </c>
      <c r="EE4" s="11">
        <f t="shared" si="15"/>
        <v>672573</v>
      </c>
      <c r="EF4" s="11">
        <f t="shared" si="15"/>
        <v>680847</v>
      </c>
      <c r="EG4" s="11">
        <f t="shared" si="15"/>
        <v>683836</v>
      </c>
      <c r="EH4" s="11">
        <f t="shared" ref="EH4:GS4" si="16">SUM(EH5:EH37)</f>
        <v>691001</v>
      </c>
      <c r="EI4" s="11">
        <f t="shared" si="16"/>
        <v>691974</v>
      </c>
      <c r="EJ4" s="11">
        <f t="shared" si="16"/>
        <v>696622</v>
      </c>
      <c r="EK4" s="11">
        <f t="shared" si="16"/>
        <v>734201</v>
      </c>
      <c r="EL4" s="11">
        <f t="shared" si="16"/>
        <v>738009</v>
      </c>
      <c r="EM4" s="11">
        <f t="shared" si="16"/>
        <v>738324</v>
      </c>
      <c r="EN4" s="11">
        <f t="shared" si="16"/>
        <v>742954</v>
      </c>
      <c r="EO4" s="11">
        <f t="shared" si="16"/>
        <v>749470</v>
      </c>
      <c r="EP4" s="11">
        <f t="shared" si="16"/>
        <v>750320</v>
      </c>
      <c r="EQ4" s="11">
        <f t="shared" si="16"/>
        <v>750320</v>
      </c>
      <c r="ER4" s="11">
        <f t="shared" si="16"/>
        <v>789607</v>
      </c>
      <c r="ES4" s="11">
        <f t="shared" si="16"/>
        <v>0</v>
      </c>
      <c r="ET4" s="11">
        <f t="shared" si="16"/>
        <v>0</v>
      </c>
      <c r="EU4" s="11">
        <f t="shared" si="16"/>
        <v>0</v>
      </c>
      <c r="EV4" s="11">
        <f t="shared" si="16"/>
        <v>0</v>
      </c>
      <c r="EW4" s="11">
        <f t="shared" si="16"/>
        <v>0</v>
      </c>
      <c r="EX4" s="11">
        <f t="shared" si="16"/>
        <v>0</v>
      </c>
      <c r="EY4" s="11">
        <f t="shared" si="16"/>
        <v>616480</v>
      </c>
      <c r="EZ4" s="11">
        <f t="shared" si="16"/>
        <v>616480</v>
      </c>
      <c r="FA4" s="11">
        <f t="shared" si="16"/>
        <v>616480</v>
      </c>
      <c r="FB4" s="11">
        <f t="shared" si="16"/>
        <v>616480</v>
      </c>
      <c r="FC4" s="11">
        <f t="shared" si="16"/>
        <v>616480</v>
      </c>
      <c r="FD4" s="11">
        <f t="shared" si="16"/>
        <v>616480</v>
      </c>
      <c r="FE4" s="11">
        <f t="shared" si="16"/>
        <v>616480</v>
      </c>
      <c r="FF4" s="11">
        <f t="shared" si="16"/>
        <v>933704</v>
      </c>
      <c r="FG4" s="11">
        <f t="shared" si="16"/>
        <v>941033</v>
      </c>
      <c r="FH4" s="11">
        <f t="shared" si="16"/>
        <v>948569</v>
      </c>
      <c r="FI4" s="11">
        <f t="shared" si="16"/>
        <v>956703</v>
      </c>
      <c r="FJ4" s="11">
        <f t="shared" si="16"/>
        <v>964904</v>
      </c>
      <c r="FK4" s="11">
        <f t="shared" si="16"/>
        <v>966879</v>
      </c>
      <c r="FL4" s="11">
        <f t="shared" si="16"/>
        <v>967767</v>
      </c>
      <c r="FM4" s="11">
        <f t="shared" si="16"/>
        <v>1005291</v>
      </c>
      <c r="FN4" s="11">
        <f>SUM(FN5:FN37)</f>
        <v>1007148</v>
      </c>
      <c r="FO4" s="11">
        <f t="shared" si="16"/>
        <v>1024104</v>
      </c>
      <c r="FP4" s="11">
        <f t="shared" si="16"/>
        <v>1036805</v>
      </c>
      <c r="FQ4" s="11">
        <f t="shared" si="16"/>
        <v>1051125</v>
      </c>
      <c r="FR4" s="11">
        <f t="shared" si="16"/>
        <v>1061133</v>
      </c>
      <c r="FS4" s="11">
        <f t="shared" si="16"/>
        <v>1067699</v>
      </c>
      <c r="FT4" s="11">
        <f t="shared" si="16"/>
        <v>1097548</v>
      </c>
      <c r="FU4" s="11">
        <f t="shared" si="16"/>
        <v>1104015</v>
      </c>
      <c r="FV4" s="11">
        <f t="shared" si="16"/>
        <v>1111528.43395</v>
      </c>
      <c r="FW4" s="11">
        <f t="shared" si="16"/>
        <v>1122354.8679</v>
      </c>
      <c r="FX4" s="11">
        <f t="shared" si="16"/>
        <v>1133976.3018499999</v>
      </c>
      <c r="FY4" s="11">
        <f t="shared" si="16"/>
        <v>1143382.7357999999</v>
      </c>
      <c r="FZ4" s="11">
        <f t="shared" si="16"/>
        <v>1152032.7357999999</v>
      </c>
      <c r="GA4" s="11">
        <f t="shared" si="16"/>
        <v>1173733.2998299999</v>
      </c>
      <c r="GB4" s="11">
        <f t="shared" si="16"/>
        <v>1181014.8638599999</v>
      </c>
      <c r="GC4" s="11">
        <f t="shared" si="16"/>
        <v>1203879.88521</v>
      </c>
      <c r="GD4" s="11">
        <f t="shared" si="16"/>
        <v>1227905.90656</v>
      </c>
      <c r="GE4" s="11">
        <f t="shared" si="16"/>
        <v>1247873.0601300001</v>
      </c>
      <c r="GF4" s="11">
        <f t="shared" si="16"/>
        <v>1265263.79455</v>
      </c>
      <c r="GG4" s="11">
        <f t="shared" si="16"/>
        <v>1281711.8351199999</v>
      </c>
      <c r="GH4" s="11">
        <f t="shared" si="16"/>
        <v>1337118.85491</v>
      </c>
      <c r="GI4" s="11">
        <f t="shared" si="16"/>
        <v>1347677.8746999998</v>
      </c>
      <c r="GJ4" s="11">
        <f t="shared" si="16"/>
        <v>1369785.8944900001</v>
      </c>
      <c r="GK4" s="11">
        <f t="shared" si="16"/>
        <v>1390703.9142799999</v>
      </c>
      <c r="GL4" s="11">
        <f t="shared" si="16"/>
        <v>1404314.93407</v>
      </c>
      <c r="GM4" s="11">
        <f t="shared" si="16"/>
        <v>1419245.1943900001</v>
      </c>
      <c r="GN4" s="11">
        <f t="shared" si="16"/>
        <v>1421074</v>
      </c>
      <c r="GO4" s="11">
        <f t="shared" si="16"/>
        <v>1466298.15283</v>
      </c>
      <c r="GP4" s="11">
        <f t="shared" si="16"/>
        <v>1476338</v>
      </c>
      <c r="GQ4" s="11">
        <f t="shared" si="16"/>
        <v>1510044</v>
      </c>
      <c r="GR4" s="11">
        <f t="shared" si="16"/>
        <v>1530993</v>
      </c>
      <c r="GS4" s="11">
        <f t="shared" si="16"/>
        <v>1536451</v>
      </c>
      <c r="GT4" s="11">
        <f t="shared" ref="GT4:JE4" si="17">SUM(GT5:GT37)</f>
        <v>1541909</v>
      </c>
      <c r="GU4" s="11">
        <f t="shared" si="17"/>
        <v>1546527</v>
      </c>
      <c r="GV4" s="11">
        <f t="shared" si="17"/>
        <v>1598681</v>
      </c>
      <c r="GW4" s="11">
        <f t="shared" si="17"/>
        <v>1642628</v>
      </c>
      <c r="GX4" s="11">
        <f t="shared" si="17"/>
        <v>1663786</v>
      </c>
      <c r="GY4" s="11">
        <f t="shared" si="17"/>
        <v>1676551</v>
      </c>
      <c r="GZ4" s="11">
        <f t="shared" si="17"/>
        <v>1683283</v>
      </c>
      <c r="HA4" s="11">
        <f t="shared" si="17"/>
        <v>1686928</v>
      </c>
      <c r="HB4" s="11">
        <f t="shared" si="17"/>
        <v>1690573</v>
      </c>
      <c r="HC4" s="11">
        <f t="shared" si="17"/>
        <v>1759643</v>
      </c>
      <c r="HD4" s="11">
        <f t="shared" si="17"/>
        <v>1759643</v>
      </c>
      <c r="HE4" s="11">
        <f t="shared" si="17"/>
        <v>1771260</v>
      </c>
      <c r="HF4" s="11">
        <f t="shared" si="17"/>
        <v>1779000</v>
      </c>
      <c r="HG4" s="11">
        <f t="shared" si="17"/>
        <v>1780000</v>
      </c>
      <c r="HH4" s="11">
        <f t="shared" si="17"/>
        <v>1781000</v>
      </c>
      <c r="HI4" s="11">
        <f t="shared" si="17"/>
        <v>1782000</v>
      </c>
      <c r="HJ4" s="11">
        <f t="shared" si="17"/>
        <v>1846570</v>
      </c>
      <c r="HK4" s="11">
        <f t="shared" si="17"/>
        <v>1846570</v>
      </c>
      <c r="HL4" s="11">
        <f t="shared" si="17"/>
        <v>1860177</v>
      </c>
      <c r="HM4" s="11">
        <f t="shared" si="17"/>
        <v>1866961</v>
      </c>
      <c r="HN4" s="11">
        <f t="shared" si="17"/>
        <v>1867961</v>
      </c>
      <c r="HO4" s="11">
        <f t="shared" si="17"/>
        <v>1868961</v>
      </c>
      <c r="HP4" s="11">
        <f t="shared" si="17"/>
        <v>1869961</v>
      </c>
      <c r="HQ4" s="11">
        <f t="shared" si="17"/>
        <v>1934247</v>
      </c>
      <c r="HR4" s="11">
        <f t="shared" si="17"/>
        <v>1934247</v>
      </c>
      <c r="HS4" s="11">
        <f t="shared" si="17"/>
        <v>1949534</v>
      </c>
      <c r="HT4" s="11">
        <f t="shared" si="17"/>
        <v>1949534</v>
      </c>
      <c r="HU4" s="11">
        <f t="shared" si="17"/>
        <v>1949534</v>
      </c>
      <c r="HV4" s="11">
        <f t="shared" si="17"/>
        <v>1949534</v>
      </c>
      <c r="HW4" s="11">
        <f t="shared" si="17"/>
        <v>1949534</v>
      </c>
      <c r="HX4" s="11">
        <f t="shared" si="17"/>
        <v>2010924</v>
      </c>
      <c r="HY4" s="11">
        <f t="shared" si="17"/>
        <v>2010924</v>
      </c>
      <c r="HZ4" s="11">
        <f t="shared" si="17"/>
        <v>2023225</v>
      </c>
      <c r="IA4" s="11">
        <f t="shared" si="17"/>
        <v>2023225</v>
      </c>
      <c r="IB4" s="11">
        <f t="shared" si="17"/>
        <v>2023225</v>
      </c>
      <c r="IC4" s="11">
        <f t="shared" si="17"/>
        <v>2023225</v>
      </c>
      <c r="ID4" s="11">
        <f t="shared" si="17"/>
        <v>2023225</v>
      </c>
      <c r="IE4" s="11">
        <f t="shared" si="17"/>
        <v>2076335</v>
      </c>
      <c r="IF4" s="11">
        <f t="shared" si="17"/>
        <v>2076335</v>
      </c>
      <c r="IG4" s="11">
        <f t="shared" si="17"/>
        <v>2084154</v>
      </c>
      <c r="IH4" s="11">
        <f t="shared" si="17"/>
        <v>2084154</v>
      </c>
      <c r="II4" s="11">
        <f t="shared" si="17"/>
        <v>2084154</v>
      </c>
      <c r="IJ4" s="11">
        <f t="shared" si="17"/>
        <v>2084154</v>
      </c>
      <c r="IK4" s="11">
        <f t="shared" si="17"/>
        <v>2084154</v>
      </c>
      <c r="IL4" s="11">
        <f>SUM(IL5:IL37)</f>
        <v>2139218.7188999997</v>
      </c>
      <c r="IM4" s="11">
        <f t="shared" si="17"/>
        <v>2139218.7188999997</v>
      </c>
      <c r="IN4" s="11">
        <f t="shared" si="17"/>
        <v>2146061</v>
      </c>
      <c r="IO4" s="11">
        <f t="shared" si="17"/>
        <v>2146061</v>
      </c>
      <c r="IP4" s="11">
        <f t="shared" si="17"/>
        <v>2146061</v>
      </c>
      <c r="IQ4" s="11">
        <f t="shared" si="17"/>
        <v>2146061</v>
      </c>
      <c r="IR4" s="11">
        <f t="shared" si="17"/>
        <v>2146061</v>
      </c>
      <c r="IS4" s="11">
        <f t="shared" si="17"/>
        <v>2179515</v>
      </c>
      <c r="IT4" s="11">
        <f t="shared" si="17"/>
        <v>2179515</v>
      </c>
      <c r="IU4" s="11">
        <f t="shared" si="17"/>
        <v>2187860</v>
      </c>
      <c r="IV4" s="11">
        <f t="shared" si="17"/>
        <v>2187860</v>
      </c>
      <c r="IW4" s="11">
        <f t="shared" si="17"/>
        <v>2187860</v>
      </c>
      <c r="IX4" s="11">
        <f t="shared" si="17"/>
        <v>2187860</v>
      </c>
      <c r="IY4" s="11">
        <f t="shared" si="17"/>
        <v>2187860</v>
      </c>
      <c r="IZ4" s="11">
        <f t="shared" si="17"/>
        <v>2214116</v>
      </c>
      <c r="JA4" s="11">
        <f t="shared" si="17"/>
        <v>2214116</v>
      </c>
      <c r="JB4" s="11">
        <f t="shared" si="17"/>
        <v>2222835</v>
      </c>
      <c r="JC4" s="11">
        <f t="shared" si="17"/>
        <v>2222835</v>
      </c>
      <c r="JD4" s="11">
        <f t="shared" si="17"/>
        <v>2222835</v>
      </c>
      <c r="JE4" s="11">
        <f t="shared" si="17"/>
        <v>2222835</v>
      </c>
      <c r="JF4" s="11">
        <f t="shared" ref="JF4:LQ4" si="18">SUM(JF5:JF37)</f>
        <v>2222835</v>
      </c>
      <c r="JG4" s="11">
        <f t="shared" si="18"/>
        <v>2249020</v>
      </c>
      <c r="JH4" s="11">
        <f t="shared" si="18"/>
        <v>2249020</v>
      </c>
      <c r="JI4" s="11">
        <f t="shared" si="18"/>
        <v>2255542</v>
      </c>
      <c r="JJ4" s="11">
        <f t="shared" si="18"/>
        <v>2255542</v>
      </c>
      <c r="JK4" s="11">
        <f t="shared" si="18"/>
        <v>2255542</v>
      </c>
      <c r="JL4" s="11">
        <f t="shared" si="18"/>
        <v>2255542</v>
      </c>
      <c r="JM4" s="11">
        <f t="shared" si="18"/>
        <v>2255542</v>
      </c>
      <c r="JN4" s="11">
        <f t="shared" si="18"/>
        <v>2279567</v>
      </c>
      <c r="JO4" s="11">
        <f t="shared" si="18"/>
        <v>2279567</v>
      </c>
      <c r="JP4" s="11">
        <f t="shared" si="18"/>
        <v>2289589</v>
      </c>
      <c r="JQ4" s="11">
        <f t="shared" si="18"/>
        <v>2289589</v>
      </c>
      <c r="JR4" s="11">
        <f t="shared" si="18"/>
        <v>2289589</v>
      </c>
      <c r="JS4" s="11">
        <f t="shared" si="18"/>
        <v>2289589</v>
      </c>
      <c r="JT4" s="11">
        <f t="shared" si="18"/>
        <v>2289589</v>
      </c>
      <c r="JU4" s="11">
        <f t="shared" si="18"/>
        <v>2311421</v>
      </c>
      <c r="JV4" s="11">
        <f t="shared" si="18"/>
        <v>2311421</v>
      </c>
      <c r="JW4" s="11">
        <f t="shared" si="18"/>
        <v>2321674</v>
      </c>
      <c r="JX4" s="11">
        <f t="shared" si="18"/>
        <v>2321674</v>
      </c>
      <c r="JY4" s="11">
        <f t="shared" si="18"/>
        <v>2321674</v>
      </c>
      <c r="JZ4" s="11">
        <f t="shared" si="18"/>
        <v>2321674</v>
      </c>
      <c r="KA4" s="11">
        <f t="shared" si="18"/>
        <v>2321674</v>
      </c>
      <c r="KB4" s="11">
        <f t="shared" si="18"/>
        <v>2338418</v>
      </c>
      <c r="KC4" s="11">
        <f t="shared" si="18"/>
        <v>2338418</v>
      </c>
      <c r="KD4" s="11">
        <f t="shared" si="18"/>
        <v>2345581</v>
      </c>
      <c r="KE4" s="11">
        <f t="shared" si="18"/>
        <v>2345581</v>
      </c>
      <c r="KF4" s="11">
        <f t="shared" si="18"/>
        <v>2345581</v>
      </c>
      <c r="KG4" s="11">
        <f t="shared" si="18"/>
        <v>2345581</v>
      </c>
      <c r="KH4" s="11">
        <f t="shared" si="18"/>
        <v>2345581</v>
      </c>
      <c r="KI4" s="11">
        <f t="shared" si="18"/>
        <v>2362697</v>
      </c>
      <c r="KJ4" s="11">
        <f t="shared" si="18"/>
        <v>2362697</v>
      </c>
      <c r="KK4" s="11">
        <f t="shared" si="18"/>
        <v>2368685</v>
      </c>
      <c r="KL4" s="11">
        <f t="shared" si="18"/>
        <v>2368685</v>
      </c>
      <c r="KM4" s="11">
        <f t="shared" si="18"/>
        <v>2368685</v>
      </c>
      <c r="KN4" s="11">
        <f t="shared" si="18"/>
        <v>2368685</v>
      </c>
      <c r="KO4" s="11">
        <f t="shared" si="18"/>
        <v>2368685</v>
      </c>
      <c r="KP4" s="11">
        <f t="shared" si="18"/>
        <v>2376919</v>
      </c>
      <c r="KQ4" s="11">
        <f t="shared" si="18"/>
        <v>2376919</v>
      </c>
      <c r="KR4" s="11">
        <f t="shared" si="18"/>
        <v>2383659</v>
      </c>
      <c r="KS4" s="11">
        <f t="shared" si="18"/>
        <v>2383659</v>
      </c>
      <c r="KT4" s="11">
        <f t="shared" si="18"/>
        <v>2383659</v>
      </c>
      <c r="KU4" s="11">
        <f t="shared" si="18"/>
        <v>2383659</v>
      </c>
      <c r="KV4" s="11">
        <f t="shared" si="18"/>
        <v>2383659</v>
      </c>
      <c r="KW4" s="11">
        <f t="shared" si="18"/>
        <v>2391899.7188999997</v>
      </c>
      <c r="KX4" s="11">
        <f t="shared" si="18"/>
        <v>2391899.7188999997</v>
      </c>
      <c r="KY4" s="11">
        <f t="shared" si="18"/>
        <v>2398964</v>
      </c>
      <c r="KZ4" s="11">
        <f t="shared" si="18"/>
        <v>2398964</v>
      </c>
      <c r="LA4" s="11">
        <f t="shared" si="18"/>
        <v>2398964</v>
      </c>
      <c r="LB4" s="11">
        <f t="shared" si="18"/>
        <v>2398964</v>
      </c>
      <c r="LC4" s="11">
        <f t="shared" si="18"/>
        <v>2398964</v>
      </c>
      <c r="LD4" s="11">
        <f t="shared" si="18"/>
        <v>2406213</v>
      </c>
      <c r="LE4" s="11">
        <f t="shared" si="18"/>
        <v>2406213</v>
      </c>
      <c r="LF4" s="11">
        <f t="shared" si="18"/>
        <v>2408814</v>
      </c>
      <c r="LG4" s="11">
        <f t="shared" si="18"/>
        <v>2408814</v>
      </c>
      <c r="LH4" s="11">
        <f t="shared" si="18"/>
        <v>2408814</v>
      </c>
      <c r="LI4" s="11">
        <f t="shared" si="18"/>
        <v>2408814</v>
      </c>
      <c r="LJ4" s="11">
        <f t="shared" si="18"/>
        <v>2408814</v>
      </c>
      <c r="LK4" s="11">
        <f t="shared" si="18"/>
        <v>2415292</v>
      </c>
      <c r="LL4" s="11">
        <f t="shared" si="18"/>
        <v>2415292</v>
      </c>
      <c r="LM4" s="11">
        <f t="shared" si="18"/>
        <v>2417626</v>
      </c>
      <c r="LN4" s="11">
        <f t="shared" si="18"/>
        <v>2417626</v>
      </c>
      <c r="LO4" s="11">
        <f t="shared" si="18"/>
        <v>2417626</v>
      </c>
      <c r="LP4" s="11">
        <f t="shared" si="18"/>
        <v>2417626</v>
      </c>
      <c r="LQ4" s="11">
        <f t="shared" si="18"/>
        <v>2417626</v>
      </c>
      <c r="LR4" s="11">
        <f t="shared" ref="LR4:OC4" si="19">SUM(LR5:LR37)</f>
        <v>2423849</v>
      </c>
      <c r="LS4" s="11">
        <f t="shared" si="19"/>
        <v>2423849</v>
      </c>
      <c r="LT4" s="11">
        <f t="shared" si="19"/>
        <v>2426366</v>
      </c>
      <c r="LU4" s="11">
        <f t="shared" si="19"/>
        <v>2426366</v>
      </c>
      <c r="LV4" s="11">
        <f t="shared" si="19"/>
        <v>2426366</v>
      </c>
      <c r="LW4" s="11">
        <f t="shared" si="19"/>
        <v>2426366</v>
      </c>
      <c r="LX4" s="11">
        <f t="shared" si="19"/>
        <v>2426366</v>
      </c>
      <c r="LY4" s="11">
        <f t="shared" si="19"/>
        <v>2443260</v>
      </c>
      <c r="LZ4" s="11">
        <f t="shared" si="19"/>
        <v>2443260</v>
      </c>
      <c r="MA4" s="11">
        <f t="shared" si="19"/>
        <v>2445928</v>
      </c>
      <c r="MB4" s="11">
        <f t="shared" si="19"/>
        <v>2445928</v>
      </c>
      <c r="MC4" s="11">
        <f t="shared" si="19"/>
        <v>2445928</v>
      </c>
      <c r="MD4" s="11">
        <f t="shared" si="19"/>
        <v>2487366</v>
      </c>
      <c r="ME4" s="11">
        <f t="shared" si="19"/>
        <v>2487366</v>
      </c>
      <c r="MF4" s="11">
        <f t="shared" si="19"/>
        <v>2519865</v>
      </c>
      <c r="MG4" s="11">
        <f t="shared" si="19"/>
        <v>2519865</v>
      </c>
      <c r="MH4" s="11">
        <f t="shared" si="19"/>
        <v>2522311</v>
      </c>
      <c r="MI4" s="11">
        <f t="shared" si="19"/>
        <v>2522311</v>
      </c>
      <c r="MJ4" s="11">
        <f t="shared" si="19"/>
        <v>2522311</v>
      </c>
      <c r="MK4" s="11">
        <f t="shared" si="19"/>
        <v>2522311</v>
      </c>
      <c r="ML4" s="11">
        <f t="shared" si="19"/>
        <v>2522311</v>
      </c>
      <c r="MM4" s="11">
        <f t="shared" si="19"/>
        <v>2556355</v>
      </c>
      <c r="MN4" s="11">
        <f t="shared" si="19"/>
        <v>2556355</v>
      </c>
      <c r="MO4" s="11">
        <f t="shared" si="19"/>
        <v>2558749</v>
      </c>
      <c r="MP4" s="11">
        <f t="shared" si="19"/>
        <v>2558749</v>
      </c>
      <c r="MQ4" s="11">
        <f t="shared" si="19"/>
        <v>2558749</v>
      </c>
      <c r="MR4" s="11">
        <f t="shared" si="19"/>
        <v>2558749</v>
      </c>
      <c r="MS4" s="11">
        <f t="shared" si="19"/>
        <v>2558749</v>
      </c>
      <c r="MT4" s="11">
        <f t="shared" si="19"/>
        <v>2591666</v>
      </c>
      <c r="MU4" s="11">
        <f t="shared" si="19"/>
        <v>2591666</v>
      </c>
      <c r="MV4" s="11">
        <f t="shared" si="19"/>
        <v>2594467</v>
      </c>
      <c r="MW4" s="11">
        <f t="shared" si="19"/>
        <v>2594467</v>
      </c>
      <c r="MX4" s="11">
        <f t="shared" si="19"/>
        <v>2594467</v>
      </c>
      <c r="MY4" s="11">
        <f t="shared" si="19"/>
        <v>2594467</v>
      </c>
      <c r="MZ4" s="11">
        <f t="shared" si="19"/>
        <v>2594467</v>
      </c>
      <c r="NA4" s="11">
        <f t="shared" si="19"/>
        <v>2634170.5089799999</v>
      </c>
      <c r="NB4" s="11">
        <f t="shared" si="19"/>
        <v>2634170.5089799999</v>
      </c>
      <c r="NC4" s="11">
        <f t="shared" si="19"/>
        <v>2636762</v>
      </c>
      <c r="ND4" s="11">
        <f t="shared" si="19"/>
        <v>2636762</v>
      </c>
      <c r="NE4" s="11">
        <f t="shared" si="19"/>
        <v>2636762</v>
      </c>
      <c r="NF4" s="11">
        <f t="shared" si="19"/>
        <v>2636762</v>
      </c>
      <c r="NG4" s="11">
        <f t="shared" si="19"/>
        <v>2636762</v>
      </c>
      <c r="NH4" s="11">
        <f t="shared" si="19"/>
        <v>2676201</v>
      </c>
      <c r="NI4" s="11">
        <f t="shared" si="19"/>
        <v>2676201</v>
      </c>
      <c r="NJ4" s="11">
        <f t="shared" si="19"/>
        <v>2679027</v>
      </c>
      <c r="NK4" s="11">
        <f t="shared" si="19"/>
        <v>2679027</v>
      </c>
      <c r="NL4" s="11">
        <f t="shared" si="19"/>
        <v>2679027</v>
      </c>
      <c r="NM4" s="11">
        <f t="shared" si="19"/>
        <v>2679027</v>
      </c>
      <c r="NN4" s="11">
        <f t="shared" si="19"/>
        <v>2679027</v>
      </c>
      <c r="NO4" s="11">
        <f t="shared" si="19"/>
        <v>2719297</v>
      </c>
      <c r="NP4" s="11">
        <f t="shared" si="19"/>
        <v>2719297</v>
      </c>
      <c r="NQ4" s="11">
        <f t="shared" si="19"/>
        <v>2721957</v>
      </c>
      <c r="NR4" s="11">
        <f t="shared" si="19"/>
        <v>2721957</v>
      </c>
      <c r="NS4" s="11">
        <f t="shared" si="19"/>
        <v>2721957</v>
      </c>
      <c r="NT4" s="11">
        <f t="shared" si="19"/>
        <v>2721957</v>
      </c>
      <c r="NU4" s="11">
        <f t="shared" si="19"/>
        <v>2721957</v>
      </c>
      <c r="NV4" s="11">
        <f t="shared" si="19"/>
        <v>2761281</v>
      </c>
      <c r="NW4" s="11">
        <f t="shared" si="19"/>
        <v>2761281</v>
      </c>
      <c r="NX4" s="11">
        <f t="shared" si="19"/>
        <v>2764239</v>
      </c>
      <c r="NY4" s="11">
        <f t="shared" si="19"/>
        <v>2764239</v>
      </c>
      <c r="NZ4" s="11">
        <f t="shared" si="19"/>
        <v>2764239</v>
      </c>
      <c r="OA4" s="11">
        <f t="shared" si="19"/>
        <v>2764239</v>
      </c>
      <c r="OB4" s="11">
        <f t="shared" si="19"/>
        <v>2764239</v>
      </c>
      <c r="OC4" s="11">
        <f t="shared" si="19"/>
        <v>2801943</v>
      </c>
      <c r="OD4" s="11">
        <f t="shared" ref="OD4:PL4" si="20">SUM(OD5:OD37)</f>
        <v>2801943</v>
      </c>
      <c r="OE4" s="11">
        <f t="shared" si="20"/>
        <v>2804933</v>
      </c>
      <c r="OF4" s="11">
        <f t="shared" si="20"/>
        <v>2804933</v>
      </c>
      <c r="OG4" s="11">
        <f t="shared" si="20"/>
        <v>2804933</v>
      </c>
      <c r="OH4" s="11">
        <f t="shared" si="20"/>
        <v>2804933</v>
      </c>
      <c r="OI4" s="11">
        <f t="shared" si="20"/>
        <v>2804933</v>
      </c>
      <c r="OJ4" s="11">
        <f t="shared" si="20"/>
        <v>2823704</v>
      </c>
      <c r="OK4" s="11">
        <f t="shared" si="20"/>
        <v>2823704</v>
      </c>
      <c r="OL4" s="11">
        <f t="shared" si="20"/>
        <v>2826734</v>
      </c>
      <c r="OM4" s="11">
        <f t="shared" si="20"/>
        <v>2826734</v>
      </c>
      <c r="ON4" s="11">
        <f t="shared" si="20"/>
        <v>2826734</v>
      </c>
      <c r="OO4" s="11">
        <f t="shared" si="20"/>
        <v>2826734</v>
      </c>
      <c r="OP4" s="11">
        <f t="shared" si="20"/>
        <v>2826734</v>
      </c>
      <c r="OQ4" s="11">
        <f t="shared" si="20"/>
        <v>2845574</v>
      </c>
      <c r="OR4" s="11">
        <f t="shared" si="20"/>
        <v>2845574</v>
      </c>
      <c r="OS4" s="11">
        <f t="shared" si="20"/>
        <v>2848010</v>
      </c>
      <c r="OT4" s="11">
        <f t="shared" si="20"/>
        <v>2848010</v>
      </c>
      <c r="OU4" s="11">
        <f t="shared" si="20"/>
        <v>2848010</v>
      </c>
      <c r="OV4" s="11">
        <f t="shared" si="20"/>
        <v>2848010</v>
      </c>
      <c r="OW4" s="11">
        <f t="shared" si="20"/>
        <v>2848010</v>
      </c>
      <c r="OX4" s="11">
        <f t="shared" si="20"/>
        <v>2864329.5089799999</v>
      </c>
      <c r="OY4" s="11">
        <f t="shared" si="20"/>
        <v>2864329.5089799999</v>
      </c>
      <c r="OZ4" s="11">
        <f t="shared" si="20"/>
        <v>2866371.5089799999</v>
      </c>
      <c r="PA4" s="11">
        <f t="shared" si="20"/>
        <v>2866371.5089799999</v>
      </c>
      <c r="PB4" s="11">
        <f t="shared" si="20"/>
        <v>2866371.5089799999</v>
      </c>
      <c r="PC4" s="11">
        <f t="shared" si="20"/>
        <v>2866371.5089799999</v>
      </c>
      <c r="PD4" s="11">
        <f t="shared" si="20"/>
        <v>2866371.5089799999</v>
      </c>
      <c r="PE4" s="11">
        <f t="shared" si="20"/>
        <v>2880932.5089799999</v>
      </c>
      <c r="PF4" s="11">
        <f t="shared" si="20"/>
        <v>2880932.5089799999</v>
      </c>
      <c r="PG4" s="11">
        <f t="shared" si="20"/>
        <v>2880932.5089799999</v>
      </c>
      <c r="PH4" s="11">
        <f t="shared" si="20"/>
        <v>2880932.5089799999</v>
      </c>
      <c r="PI4" s="11">
        <f t="shared" si="20"/>
        <v>2880932.5089799999</v>
      </c>
      <c r="PJ4" s="11">
        <f t="shared" si="20"/>
        <v>2880932.5089799999</v>
      </c>
      <c r="PK4" s="11">
        <f t="shared" si="20"/>
        <v>2880932.5089799999</v>
      </c>
      <c r="PL4" s="11">
        <f t="shared" si="20"/>
        <v>2880932.5089799999</v>
      </c>
    </row>
    <row r="5" spans="1:428" s="12" customFormat="1" outlineLevel="1">
      <c r="A5" s="20" t="s">
        <v>19</v>
      </c>
      <c r="B5" s="12" t="s">
        <v>20</v>
      </c>
      <c r="C5" s="12" t="str">
        <f>"Lens"&amp;F5&amp;G5</f>
        <v>LensRectangle MBLACK</v>
      </c>
      <c r="D5" s="12" t="s">
        <v>36</v>
      </c>
      <c r="E5" s="16" t="s">
        <v>14</v>
      </c>
      <c r="F5" s="13" t="s">
        <v>0</v>
      </c>
      <c r="G5" s="13" t="s">
        <v>1</v>
      </c>
      <c r="H5" s="14">
        <v>318003500484</v>
      </c>
      <c r="I5" s="13"/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170</v>
      </c>
      <c r="BV5" s="17">
        <v>170</v>
      </c>
      <c r="BW5" s="17">
        <v>170</v>
      </c>
      <c r="BX5" s="17">
        <v>350</v>
      </c>
      <c r="BY5" s="17">
        <v>350</v>
      </c>
      <c r="BZ5" s="17">
        <v>1430</v>
      </c>
      <c r="CA5" s="17">
        <v>1430</v>
      </c>
      <c r="CB5" s="17">
        <v>1430</v>
      </c>
      <c r="CC5" s="17">
        <v>1430</v>
      </c>
      <c r="CD5" s="17">
        <v>1430</v>
      </c>
      <c r="CE5" s="17">
        <v>0</v>
      </c>
      <c r="CF5" s="17">
        <v>0</v>
      </c>
      <c r="CG5" s="17">
        <v>0</v>
      </c>
      <c r="CH5" s="17">
        <v>0</v>
      </c>
      <c r="CI5" s="17">
        <v>2090</v>
      </c>
      <c r="CJ5" s="17">
        <v>2090</v>
      </c>
      <c r="CK5" s="17">
        <v>6140</v>
      </c>
      <c r="CL5" s="17">
        <v>14722</v>
      </c>
      <c r="CM5" s="17">
        <v>15322</v>
      </c>
      <c r="CN5" s="17">
        <v>21112</v>
      </c>
      <c r="CO5" s="17">
        <v>21112</v>
      </c>
      <c r="CP5" s="17">
        <v>21412</v>
      </c>
      <c r="CQ5" s="17">
        <v>21412</v>
      </c>
      <c r="CR5" s="17">
        <v>24546</v>
      </c>
      <c r="CS5" s="17">
        <v>24546</v>
      </c>
      <c r="CT5" s="17">
        <v>24546</v>
      </c>
      <c r="CU5" s="17">
        <v>38906</v>
      </c>
      <c r="CV5" s="17">
        <v>42242</v>
      </c>
      <c r="CW5" s="17">
        <v>42242</v>
      </c>
      <c r="CX5" s="17">
        <v>50786</v>
      </c>
      <c r="CY5" s="17">
        <v>57447</v>
      </c>
      <c r="CZ5" s="17">
        <v>74632</v>
      </c>
      <c r="DA5" s="17">
        <v>90562</v>
      </c>
      <c r="DB5" s="17">
        <v>106719</v>
      </c>
      <c r="DC5" s="17">
        <v>106719</v>
      </c>
      <c r="DD5" s="17">
        <v>106719</v>
      </c>
      <c r="DE5" s="17">
        <v>109732</v>
      </c>
      <c r="DF5" s="17">
        <v>110032</v>
      </c>
      <c r="DG5" s="17">
        <v>132340</v>
      </c>
      <c r="DH5" s="17">
        <v>139720</v>
      </c>
      <c r="DI5" s="17">
        <v>147370</v>
      </c>
      <c r="DJ5" s="17">
        <v>147370</v>
      </c>
      <c r="DK5" s="17">
        <v>166090</v>
      </c>
      <c r="DL5" s="17">
        <v>176620</v>
      </c>
      <c r="DM5" s="17">
        <v>185890</v>
      </c>
      <c r="DN5" s="17">
        <v>185890</v>
      </c>
      <c r="DO5" s="17">
        <v>194080</v>
      </c>
      <c r="DP5" s="17">
        <v>203620</v>
      </c>
      <c r="DQ5" s="17">
        <v>211810</v>
      </c>
      <c r="DR5" s="17">
        <v>235030</v>
      </c>
      <c r="DS5" s="17">
        <v>248126</v>
      </c>
      <c r="DT5" s="17">
        <v>252176</v>
      </c>
      <c r="DU5" s="17">
        <v>227382</v>
      </c>
      <c r="DV5" s="17">
        <v>227382</v>
      </c>
      <c r="DW5" s="17">
        <v>243438</v>
      </c>
      <c r="DX5" s="17">
        <v>243438</v>
      </c>
      <c r="DY5" s="17">
        <v>243438</v>
      </c>
      <c r="DZ5" s="17">
        <v>243438</v>
      </c>
      <c r="EA5" s="17">
        <v>243438</v>
      </c>
      <c r="EB5" s="17">
        <v>243438</v>
      </c>
      <c r="EC5" s="17">
        <v>243438</v>
      </c>
      <c r="ED5" s="17">
        <v>248790</v>
      </c>
      <c r="EE5" s="17">
        <v>248790</v>
      </c>
      <c r="EF5" s="17">
        <v>248790</v>
      </c>
      <c r="EG5" s="17">
        <v>248790</v>
      </c>
      <c r="EH5" s="17">
        <v>248790</v>
      </c>
      <c r="EI5" s="17">
        <v>248790</v>
      </c>
      <c r="EJ5" s="17">
        <v>248790</v>
      </c>
      <c r="EK5" s="17">
        <v>264846</v>
      </c>
      <c r="EL5" s="17">
        <v>264846</v>
      </c>
      <c r="EM5" s="17">
        <v>264846</v>
      </c>
      <c r="EN5" s="17">
        <v>264846</v>
      </c>
      <c r="EO5" s="17">
        <v>264846</v>
      </c>
      <c r="EP5" s="17">
        <v>264846</v>
      </c>
      <c r="EQ5" s="17">
        <v>264846</v>
      </c>
      <c r="ER5" s="17">
        <v>291606</v>
      </c>
      <c r="ES5" s="17">
        <v>0</v>
      </c>
      <c r="ET5" s="17">
        <v>0</v>
      </c>
      <c r="EU5" s="17">
        <v>0</v>
      </c>
      <c r="EV5" s="17">
        <v>0</v>
      </c>
      <c r="EW5" s="17">
        <v>0</v>
      </c>
      <c r="EX5" s="17">
        <v>0</v>
      </c>
      <c r="EY5" s="17">
        <v>179040</v>
      </c>
      <c r="EZ5" s="17">
        <v>179040</v>
      </c>
      <c r="FA5" s="17">
        <v>179040</v>
      </c>
      <c r="FB5" s="17">
        <v>179040</v>
      </c>
      <c r="FC5" s="17">
        <v>179040</v>
      </c>
      <c r="FD5" s="17">
        <v>179040</v>
      </c>
      <c r="FE5" s="17">
        <v>179040</v>
      </c>
      <c r="FF5" s="17">
        <v>299339</v>
      </c>
      <c r="FG5" s="17">
        <v>299339</v>
      </c>
      <c r="FH5" s="17">
        <v>299339</v>
      </c>
      <c r="FI5" s="17">
        <v>299339</v>
      </c>
      <c r="FJ5" s="17">
        <v>299339</v>
      </c>
      <c r="FK5" s="17">
        <v>299339</v>
      </c>
      <c r="FL5" s="17">
        <v>299339</v>
      </c>
      <c r="FM5" s="17">
        <v>310555</v>
      </c>
      <c r="FN5" s="17">
        <v>310555</v>
      </c>
      <c r="FO5" s="17">
        <v>310555</v>
      </c>
      <c r="FP5" s="17">
        <v>310555</v>
      </c>
      <c r="FQ5" s="17">
        <v>310555</v>
      </c>
      <c r="FR5" s="17">
        <v>310555</v>
      </c>
      <c r="FS5" s="17">
        <v>310555</v>
      </c>
      <c r="FT5" s="17">
        <v>324873</v>
      </c>
      <c r="FU5" s="17">
        <v>324873</v>
      </c>
      <c r="FV5" s="17">
        <v>324873</v>
      </c>
      <c r="FW5" s="17">
        <v>324873</v>
      </c>
      <c r="FX5" s="17">
        <v>324873</v>
      </c>
      <c r="FY5" s="17">
        <v>324873</v>
      </c>
      <c r="FZ5" s="17">
        <v>324873</v>
      </c>
      <c r="GA5" s="17">
        <v>330782</v>
      </c>
      <c r="GB5" s="17">
        <v>330782</v>
      </c>
      <c r="GC5" s="17">
        <v>330782</v>
      </c>
      <c r="GD5" s="17">
        <v>336564</v>
      </c>
      <c r="GE5" s="17">
        <v>336564</v>
      </c>
      <c r="GF5" s="17">
        <v>336564</v>
      </c>
      <c r="GG5" s="17">
        <v>336564</v>
      </c>
      <c r="GH5" s="17">
        <v>341762</v>
      </c>
      <c r="GI5" s="17">
        <v>341762</v>
      </c>
      <c r="GJ5" s="17">
        <v>341762</v>
      </c>
      <c r="GK5" s="17">
        <v>347601</v>
      </c>
      <c r="GL5" s="17">
        <v>347601</v>
      </c>
      <c r="GM5" s="17">
        <v>347601</v>
      </c>
      <c r="GN5" s="17">
        <v>347601</v>
      </c>
      <c r="GO5" s="17">
        <v>353732</v>
      </c>
      <c r="GP5" s="17">
        <v>353732</v>
      </c>
      <c r="GQ5" s="17">
        <v>353732</v>
      </c>
      <c r="GR5" s="17">
        <v>359529</v>
      </c>
      <c r="GS5" s="17">
        <v>359529</v>
      </c>
      <c r="GT5" s="17">
        <v>359529</v>
      </c>
      <c r="GU5" s="17">
        <v>359529</v>
      </c>
      <c r="GV5" s="17">
        <v>370562</v>
      </c>
      <c r="GW5" s="17">
        <v>370562</v>
      </c>
      <c r="GX5" s="17">
        <v>370562</v>
      </c>
      <c r="GY5" s="17">
        <v>376414</v>
      </c>
      <c r="GZ5" s="17">
        <v>376414</v>
      </c>
      <c r="HA5" s="17">
        <v>376414</v>
      </c>
      <c r="HB5" s="17">
        <v>376414</v>
      </c>
      <c r="HC5" s="17">
        <v>389102</v>
      </c>
      <c r="HD5" s="17">
        <v>389102</v>
      </c>
      <c r="HE5" s="17">
        <v>389102</v>
      </c>
      <c r="HF5" s="17">
        <v>393254</v>
      </c>
      <c r="HG5" s="17">
        <v>393254</v>
      </c>
      <c r="HH5" s="17">
        <v>393254</v>
      </c>
      <c r="HI5" s="17">
        <v>393254</v>
      </c>
      <c r="HJ5" s="17">
        <v>406652</v>
      </c>
      <c r="HK5" s="17">
        <v>406652</v>
      </c>
      <c r="HL5" s="17">
        <v>406652</v>
      </c>
      <c r="HM5" s="17">
        <v>410019</v>
      </c>
      <c r="HN5" s="17">
        <v>410019</v>
      </c>
      <c r="HO5" s="17">
        <v>410019</v>
      </c>
      <c r="HP5" s="17">
        <v>410019</v>
      </c>
      <c r="HQ5" s="17">
        <v>420152</v>
      </c>
      <c r="HR5" s="17">
        <v>420152</v>
      </c>
      <c r="HS5" s="17">
        <v>422030</v>
      </c>
      <c r="HT5" s="17">
        <v>422030</v>
      </c>
      <c r="HU5" s="17">
        <v>422030</v>
      </c>
      <c r="HV5" s="17">
        <v>422030</v>
      </c>
      <c r="HW5" s="17">
        <v>422030</v>
      </c>
      <c r="HX5" s="17">
        <v>437670</v>
      </c>
      <c r="HY5" s="17">
        <v>437670</v>
      </c>
      <c r="HZ5" s="17">
        <v>437670</v>
      </c>
      <c r="IA5" s="17">
        <v>437670</v>
      </c>
      <c r="IB5" s="17">
        <v>437670</v>
      </c>
      <c r="IC5" s="17">
        <v>437670</v>
      </c>
      <c r="ID5" s="17">
        <v>437670</v>
      </c>
      <c r="IE5" s="17">
        <v>454856</v>
      </c>
      <c r="IF5" s="17">
        <v>454856</v>
      </c>
      <c r="IG5" s="17">
        <v>454856</v>
      </c>
      <c r="IH5" s="17">
        <v>454856</v>
      </c>
      <c r="II5" s="17">
        <v>454856</v>
      </c>
      <c r="IJ5" s="17">
        <v>454856</v>
      </c>
      <c r="IK5" s="17">
        <v>454856</v>
      </c>
      <c r="IL5" s="17">
        <v>471419</v>
      </c>
      <c r="IM5" s="17">
        <v>471419</v>
      </c>
      <c r="IN5" s="17">
        <v>471419</v>
      </c>
      <c r="IO5" s="17">
        <v>471419</v>
      </c>
      <c r="IP5" s="17">
        <v>471419</v>
      </c>
      <c r="IQ5" s="17">
        <v>471419</v>
      </c>
      <c r="IR5" s="17">
        <v>471419</v>
      </c>
      <c r="IS5" s="17">
        <v>481193</v>
      </c>
      <c r="IT5" s="17">
        <v>481193</v>
      </c>
      <c r="IU5" s="17">
        <v>481193</v>
      </c>
      <c r="IV5" s="17">
        <v>481193</v>
      </c>
      <c r="IW5" s="17">
        <v>481193</v>
      </c>
      <c r="IX5" s="17">
        <v>481193</v>
      </c>
      <c r="IY5" s="17">
        <v>481193</v>
      </c>
      <c r="IZ5" s="17">
        <v>488501</v>
      </c>
      <c r="JA5" s="17">
        <v>488501</v>
      </c>
      <c r="JB5" s="17">
        <v>488501</v>
      </c>
      <c r="JC5" s="17">
        <v>488501</v>
      </c>
      <c r="JD5" s="17">
        <v>488501</v>
      </c>
      <c r="JE5" s="17">
        <v>488501</v>
      </c>
      <c r="JF5" s="17">
        <v>488501</v>
      </c>
      <c r="JG5" s="17">
        <v>499671</v>
      </c>
      <c r="JH5" s="17">
        <v>499671</v>
      </c>
      <c r="JI5" s="17">
        <v>499671</v>
      </c>
      <c r="JJ5" s="17">
        <v>499671</v>
      </c>
      <c r="JK5" s="17">
        <v>499671</v>
      </c>
      <c r="JL5" s="17">
        <v>499671</v>
      </c>
      <c r="JM5" s="17">
        <v>499671</v>
      </c>
      <c r="JN5" s="17">
        <v>507195</v>
      </c>
      <c r="JO5" s="17">
        <v>507195</v>
      </c>
      <c r="JP5" s="17">
        <v>507195</v>
      </c>
      <c r="JQ5" s="17">
        <v>507195</v>
      </c>
      <c r="JR5" s="17">
        <v>507195</v>
      </c>
      <c r="JS5" s="17">
        <v>507195</v>
      </c>
      <c r="JT5" s="17">
        <v>507195</v>
      </c>
      <c r="JU5" s="17">
        <v>516864</v>
      </c>
      <c r="JV5" s="17">
        <v>516864</v>
      </c>
      <c r="JW5" s="17">
        <v>516864</v>
      </c>
      <c r="JX5" s="17">
        <v>516864</v>
      </c>
      <c r="JY5" s="17">
        <v>516864</v>
      </c>
      <c r="JZ5" s="17">
        <v>516864</v>
      </c>
      <c r="KA5" s="17">
        <v>516864</v>
      </c>
      <c r="KB5" s="17">
        <v>522591</v>
      </c>
      <c r="KC5" s="17">
        <v>522591</v>
      </c>
      <c r="KD5" s="17">
        <v>522591</v>
      </c>
      <c r="KE5" s="17">
        <v>522591</v>
      </c>
      <c r="KF5" s="17">
        <v>522591</v>
      </c>
      <c r="KG5" s="17">
        <v>522591</v>
      </c>
      <c r="KH5" s="17">
        <v>522591</v>
      </c>
      <c r="KI5" s="17">
        <v>530408</v>
      </c>
      <c r="KJ5" s="17">
        <v>530408</v>
      </c>
      <c r="KK5" s="17">
        <v>530408</v>
      </c>
      <c r="KL5" s="17">
        <v>530408</v>
      </c>
      <c r="KM5" s="17">
        <v>530408</v>
      </c>
      <c r="KN5" s="17">
        <v>530408</v>
      </c>
      <c r="KO5" s="17">
        <v>530408</v>
      </c>
      <c r="KP5" s="17">
        <v>532848</v>
      </c>
      <c r="KQ5" s="17">
        <v>532848</v>
      </c>
      <c r="KR5" s="17">
        <v>532848</v>
      </c>
      <c r="KS5" s="17">
        <v>532848</v>
      </c>
      <c r="KT5" s="17">
        <v>532848</v>
      </c>
      <c r="KU5" s="17">
        <v>532848</v>
      </c>
      <c r="KV5" s="17">
        <v>532848</v>
      </c>
      <c r="KW5" s="17">
        <v>535287</v>
      </c>
      <c r="KX5" s="17">
        <v>535287</v>
      </c>
      <c r="KY5" s="17">
        <v>535287</v>
      </c>
      <c r="KZ5" s="17">
        <v>535287</v>
      </c>
      <c r="LA5" s="17">
        <v>535287</v>
      </c>
      <c r="LB5" s="17">
        <v>535287</v>
      </c>
      <c r="LC5" s="17">
        <v>535287</v>
      </c>
      <c r="LD5" s="17">
        <v>537727</v>
      </c>
      <c r="LE5" s="17">
        <v>537727</v>
      </c>
      <c r="LF5" s="17">
        <v>537727</v>
      </c>
      <c r="LG5" s="17">
        <v>537727</v>
      </c>
      <c r="LH5" s="17">
        <v>537727</v>
      </c>
      <c r="LI5" s="17">
        <v>537727</v>
      </c>
      <c r="LJ5" s="17">
        <v>537727</v>
      </c>
      <c r="LK5" s="17">
        <v>539939</v>
      </c>
      <c r="LL5" s="17">
        <v>539939</v>
      </c>
      <c r="LM5" s="17">
        <v>539939</v>
      </c>
      <c r="LN5" s="17">
        <v>539939</v>
      </c>
      <c r="LO5" s="17">
        <v>539939</v>
      </c>
      <c r="LP5" s="17">
        <v>539939</v>
      </c>
      <c r="LQ5" s="17">
        <v>539939</v>
      </c>
      <c r="LR5" s="17">
        <v>541410</v>
      </c>
      <c r="LS5" s="17">
        <v>541410</v>
      </c>
      <c r="LT5" s="17">
        <v>541410</v>
      </c>
      <c r="LU5" s="17">
        <v>541410</v>
      </c>
      <c r="LV5" s="17">
        <v>541410</v>
      </c>
      <c r="LW5" s="17">
        <v>541410</v>
      </c>
      <c r="LX5" s="17">
        <v>541410</v>
      </c>
      <c r="LY5" s="17">
        <v>548411</v>
      </c>
      <c r="LZ5" s="17">
        <v>548411</v>
      </c>
      <c r="MA5" s="17">
        <v>548411</v>
      </c>
      <c r="MB5" s="17">
        <v>548411</v>
      </c>
      <c r="MC5" s="17">
        <v>548411</v>
      </c>
      <c r="MD5" s="17">
        <v>548411</v>
      </c>
      <c r="ME5" s="17">
        <v>548411</v>
      </c>
      <c r="MF5" s="17">
        <v>557572</v>
      </c>
      <c r="MG5" s="17">
        <v>557572</v>
      </c>
      <c r="MH5" s="17">
        <v>557572</v>
      </c>
      <c r="MI5" s="17">
        <v>557572</v>
      </c>
      <c r="MJ5" s="17">
        <v>557572</v>
      </c>
      <c r="MK5" s="17">
        <v>557572</v>
      </c>
      <c r="ML5" s="17">
        <v>557572</v>
      </c>
      <c r="MM5" s="17">
        <v>572297</v>
      </c>
      <c r="MN5" s="17">
        <v>572297</v>
      </c>
      <c r="MO5" s="17">
        <v>572297</v>
      </c>
      <c r="MP5" s="17">
        <v>572297</v>
      </c>
      <c r="MQ5" s="17">
        <v>572297</v>
      </c>
      <c r="MR5" s="17">
        <v>572297</v>
      </c>
      <c r="MS5" s="17">
        <v>572297</v>
      </c>
      <c r="MT5" s="17">
        <v>583510</v>
      </c>
      <c r="MU5" s="17">
        <v>583510</v>
      </c>
      <c r="MV5" s="17">
        <v>583510</v>
      </c>
      <c r="MW5" s="17">
        <v>583510</v>
      </c>
      <c r="MX5" s="17">
        <v>583510</v>
      </c>
      <c r="MY5" s="17">
        <v>583510</v>
      </c>
      <c r="MZ5" s="17">
        <v>583510</v>
      </c>
      <c r="NA5" s="17">
        <v>594418</v>
      </c>
      <c r="NB5" s="17">
        <v>594418</v>
      </c>
      <c r="NC5" s="17">
        <v>594418</v>
      </c>
      <c r="ND5" s="17">
        <v>594418</v>
      </c>
      <c r="NE5" s="17">
        <v>594418</v>
      </c>
      <c r="NF5" s="17">
        <v>594418</v>
      </c>
      <c r="NG5" s="17">
        <v>594418</v>
      </c>
      <c r="NH5" s="17">
        <v>605992</v>
      </c>
      <c r="NI5" s="17">
        <v>605992</v>
      </c>
      <c r="NJ5" s="17">
        <v>605992</v>
      </c>
      <c r="NK5" s="17">
        <v>605992</v>
      </c>
      <c r="NL5" s="17">
        <v>605992</v>
      </c>
      <c r="NM5" s="17">
        <v>605992</v>
      </c>
      <c r="NN5" s="17">
        <v>605992</v>
      </c>
      <c r="NO5" s="17">
        <v>617971</v>
      </c>
      <c r="NP5" s="17">
        <v>617971</v>
      </c>
      <c r="NQ5" s="17">
        <v>617971</v>
      </c>
      <c r="NR5" s="17">
        <v>617971</v>
      </c>
      <c r="NS5" s="17">
        <v>617971</v>
      </c>
      <c r="NT5" s="17">
        <v>617971</v>
      </c>
      <c r="NU5" s="17">
        <v>617971</v>
      </c>
      <c r="NV5" s="17">
        <v>630596</v>
      </c>
      <c r="NW5" s="17">
        <v>630596</v>
      </c>
      <c r="NX5" s="17">
        <v>630596</v>
      </c>
      <c r="NY5" s="17">
        <v>630596</v>
      </c>
      <c r="NZ5" s="17">
        <v>630596</v>
      </c>
      <c r="OA5" s="17">
        <v>630596</v>
      </c>
      <c r="OB5" s="17">
        <v>630596</v>
      </c>
      <c r="OC5" s="17">
        <v>644242</v>
      </c>
      <c r="OD5" s="17">
        <v>644242</v>
      </c>
      <c r="OE5" s="17">
        <v>644242</v>
      </c>
      <c r="OF5" s="17">
        <v>644242</v>
      </c>
      <c r="OG5" s="17">
        <v>644242</v>
      </c>
      <c r="OH5" s="17">
        <v>644242</v>
      </c>
      <c r="OI5" s="17">
        <v>644242</v>
      </c>
      <c r="OJ5" s="17">
        <v>648791</v>
      </c>
      <c r="OK5" s="17">
        <v>648791</v>
      </c>
      <c r="OL5" s="17">
        <v>648791</v>
      </c>
      <c r="OM5" s="17">
        <v>648791</v>
      </c>
      <c r="ON5" s="17">
        <v>648791</v>
      </c>
      <c r="OO5" s="17">
        <v>648791</v>
      </c>
      <c r="OP5" s="17">
        <v>648791</v>
      </c>
      <c r="OQ5" s="17">
        <v>653340</v>
      </c>
      <c r="OR5" s="17">
        <v>653340</v>
      </c>
      <c r="OS5" s="17">
        <v>653340</v>
      </c>
      <c r="OT5" s="17">
        <v>653340</v>
      </c>
      <c r="OU5" s="17">
        <v>653340</v>
      </c>
      <c r="OV5" s="17">
        <v>653340</v>
      </c>
      <c r="OW5" s="17">
        <v>653340</v>
      </c>
      <c r="OX5" s="17">
        <v>657889</v>
      </c>
      <c r="OY5" s="17">
        <v>657889</v>
      </c>
      <c r="OZ5" s="17">
        <v>657889</v>
      </c>
      <c r="PA5" s="17">
        <v>657889</v>
      </c>
      <c r="PB5" s="17">
        <v>657889</v>
      </c>
      <c r="PC5" s="17">
        <v>657889</v>
      </c>
      <c r="PD5" s="17">
        <v>657889</v>
      </c>
      <c r="PE5" s="17">
        <v>662438</v>
      </c>
      <c r="PF5" s="17">
        <v>662438</v>
      </c>
      <c r="PG5" s="17">
        <v>662438</v>
      </c>
      <c r="PH5" s="17">
        <v>662438</v>
      </c>
      <c r="PI5" s="17">
        <v>662438</v>
      </c>
      <c r="PJ5" s="17">
        <v>662438</v>
      </c>
      <c r="PK5" s="17">
        <v>662438</v>
      </c>
      <c r="PL5" s="17">
        <v>662438</v>
      </c>
    </row>
    <row r="6" spans="1:428" s="12" customFormat="1" outlineLevel="1">
      <c r="A6" s="20" t="s">
        <v>19</v>
      </c>
      <c r="B6" s="12" t="s">
        <v>38</v>
      </c>
      <c r="C6" s="12" t="str">
        <f t="shared" ref="C6:C37" si="21">"Lens"&amp;F6&amp;G6</f>
        <v>LensRectangle MCLASSIC HAVANA</v>
      </c>
      <c r="D6" s="12" t="s">
        <v>36</v>
      </c>
      <c r="E6" s="16" t="s">
        <v>14</v>
      </c>
      <c r="F6" s="13" t="s">
        <v>0</v>
      </c>
      <c r="G6" s="13" t="s">
        <v>2</v>
      </c>
      <c r="H6" s="14">
        <v>318003500482</v>
      </c>
      <c r="I6" s="13"/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7">
        <v>0</v>
      </c>
      <c r="CT6" s="17">
        <v>0</v>
      </c>
      <c r="CU6" s="17">
        <v>0</v>
      </c>
      <c r="CV6" s="17">
        <v>0</v>
      </c>
      <c r="CW6" s="17">
        <v>0</v>
      </c>
      <c r="CX6" s="17">
        <v>0</v>
      </c>
      <c r="CY6" s="17">
        <v>0</v>
      </c>
      <c r="CZ6" s="17">
        <v>0</v>
      </c>
      <c r="DA6" s="17">
        <v>0</v>
      </c>
      <c r="DB6" s="17">
        <v>0</v>
      </c>
      <c r="DC6" s="17">
        <v>0</v>
      </c>
      <c r="DD6" s="17">
        <v>0</v>
      </c>
      <c r="DE6" s="17">
        <v>0</v>
      </c>
      <c r="DF6" s="17">
        <v>0</v>
      </c>
      <c r="DG6" s="17">
        <v>0</v>
      </c>
      <c r="DH6" s="17">
        <v>0</v>
      </c>
      <c r="DI6" s="17">
        <v>0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875</v>
      </c>
      <c r="DP6" s="17">
        <v>5195</v>
      </c>
      <c r="DQ6" s="17">
        <v>7813</v>
      </c>
      <c r="DR6" s="17">
        <v>7813</v>
      </c>
      <c r="DS6" s="17">
        <v>10733</v>
      </c>
      <c r="DT6" s="17">
        <v>26460</v>
      </c>
      <c r="DU6" s="17">
        <v>27863</v>
      </c>
      <c r="DV6" s="17">
        <v>31613</v>
      </c>
      <c r="DW6" s="17">
        <v>36209</v>
      </c>
      <c r="DX6" s="17">
        <v>36209</v>
      </c>
      <c r="DY6" s="17">
        <v>47169</v>
      </c>
      <c r="DZ6" s="17">
        <v>50004</v>
      </c>
      <c r="EA6" s="17">
        <v>53154</v>
      </c>
      <c r="EB6" s="17">
        <v>55359</v>
      </c>
      <c r="EC6" s="17">
        <v>56094</v>
      </c>
      <c r="ED6" s="17">
        <v>57984</v>
      </c>
      <c r="EE6" s="17">
        <v>61974</v>
      </c>
      <c r="EF6" s="17">
        <v>65748</v>
      </c>
      <c r="EG6" s="17">
        <v>65748</v>
      </c>
      <c r="EH6" s="17">
        <v>70158</v>
      </c>
      <c r="EI6" s="17">
        <v>70953</v>
      </c>
      <c r="EJ6" s="17">
        <v>75082</v>
      </c>
      <c r="EK6" s="17">
        <v>85152</v>
      </c>
      <c r="EL6" s="17">
        <v>87805</v>
      </c>
      <c r="EM6" s="17">
        <v>87805</v>
      </c>
      <c r="EN6" s="17">
        <v>92328</v>
      </c>
      <c r="EO6" s="17">
        <v>92868</v>
      </c>
      <c r="EP6" s="17">
        <v>93613</v>
      </c>
      <c r="EQ6" s="17">
        <v>93613</v>
      </c>
      <c r="ER6" s="17">
        <v>93613</v>
      </c>
      <c r="ES6" s="17">
        <v>0</v>
      </c>
      <c r="ET6" s="17">
        <v>0</v>
      </c>
      <c r="EU6" s="17">
        <v>0</v>
      </c>
      <c r="EV6" s="17">
        <v>0</v>
      </c>
      <c r="EW6" s="17">
        <v>0</v>
      </c>
      <c r="EX6" s="17">
        <v>0</v>
      </c>
      <c r="EY6" s="17">
        <v>87552</v>
      </c>
      <c r="EZ6" s="17">
        <v>87552</v>
      </c>
      <c r="FA6" s="17">
        <v>87552</v>
      </c>
      <c r="FB6" s="17">
        <v>87552</v>
      </c>
      <c r="FC6" s="17">
        <v>87552</v>
      </c>
      <c r="FD6" s="17">
        <v>87552</v>
      </c>
      <c r="FE6" s="17">
        <v>87552</v>
      </c>
      <c r="FF6" s="17">
        <v>171581</v>
      </c>
      <c r="FG6" s="17">
        <v>177030</v>
      </c>
      <c r="FH6" s="17">
        <v>182070</v>
      </c>
      <c r="FI6" s="17">
        <v>188160</v>
      </c>
      <c r="FJ6" s="17">
        <v>194239</v>
      </c>
      <c r="FK6" s="17">
        <v>194239</v>
      </c>
      <c r="FL6" s="17">
        <v>194239</v>
      </c>
      <c r="FM6" s="17">
        <v>195330</v>
      </c>
      <c r="FN6" s="17">
        <v>195330</v>
      </c>
      <c r="FO6" s="17">
        <v>198739</v>
      </c>
      <c r="FP6" s="17">
        <v>203239</v>
      </c>
      <c r="FQ6" s="17">
        <v>207739</v>
      </c>
      <c r="FR6" s="17">
        <v>212239</v>
      </c>
      <c r="FS6" s="17">
        <v>216739</v>
      </c>
      <c r="FT6" s="17">
        <v>221239</v>
      </c>
      <c r="FU6" s="17">
        <v>225739</v>
      </c>
      <c r="FV6" s="17">
        <v>230239</v>
      </c>
      <c r="FW6" s="17">
        <v>234739</v>
      </c>
      <c r="FX6" s="17">
        <v>239239</v>
      </c>
      <c r="FY6" s="17">
        <v>243739</v>
      </c>
      <c r="FZ6" s="17">
        <v>248239</v>
      </c>
      <c r="GA6" s="17">
        <v>252739</v>
      </c>
      <c r="GB6" s="17">
        <v>257239</v>
      </c>
      <c r="GC6" s="17">
        <v>257239</v>
      </c>
      <c r="GD6" s="17">
        <v>261739</v>
      </c>
      <c r="GE6" s="17">
        <v>264520</v>
      </c>
      <c r="GF6" s="17">
        <v>264520</v>
      </c>
      <c r="GG6" s="17">
        <v>264520</v>
      </c>
      <c r="GH6" s="17">
        <v>279739</v>
      </c>
      <c r="GI6" s="17">
        <v>279764</v>
      </c>
      <c r="GJ6" s="17">
        <v>279764</v>
      </c>
      <c r="GK6" s="17">
        <v>279764</v>
      </c>
      <c r="GL6" s="17">
        <v>279764</v>
      </c>
      <c r="GM6" s="17">
        <v>279764</v>
      </c>
      <c r="GN6" s="17">
        <v>279764</v>
      </c>
      <c r="GO6" s="17">
        <v>284239</v>
      </c>
      <c r="GP6" s="17">
        <v>284239</v>
      </c>
      <c r="GQ6" s="17">
        <v>294614</v>
      </c>
      <c r="GR6" s="17">
        <v>294614</v>
      </c>
      <c r="GS6" s="17">
        <v>294614</v>
      </c>
      <c r="GT6" s="17">
        <v>294614</v>
      </c>
      <c r="GU6" s="17">
        <v>294614</v>
      </c>
      <c r="GV6" s="17">
        <v>311239</v>
      </c>
      <c r="GW6" s="17">
        <v>311239</v>
      </c>
      <c r="GX6" s="17">
        <v>313983</v>
      </c>
      <c r="GY6" s="17">
        <v>313983</v>
      </c>
      <c r="GZ6" s="17">
        <v>313983</v>
      </c>
      <c r="HA6" s="17">
        <v>313983</v>
      </c>
      <c r="HB6" s="17">
        <v>313983</v>
      </c>
      <c r="HC6" s="17">
        <v>332608</v>
      </c>
      <c r="HD6" s="17">
        <v>332608</v>
      </c>
      <c r="HE6" s="17">
        <v>332608</v>
      </c>
      <c r="HF6" s="17">
        <v>332608</v>
      </c>
      <c r="HG6" s="17">
        <v>332608</v>
      </c>
      <c r="HH6" s="17">
        <v>332608</v>
      </c>
      <c r="HI6" s="17">
        <v>332608</v>
      </c>
      <c r="HJ6" s="17">
        <v>350985</v>
      </c>
      <c r="HK6" s="17">
        <v>350985</v>
      </c>
      <c r="HL6" s="17">
        <v>350985</v>
      </c>
      <c r="HM6" s="17">
        <v>350985</v>
      </c>
      <c r="HN6" s="17">
        <v>350985</v>
      </c>
      <c r="HO6" s="17">
        <v>350985</v>
      </c>
      <c r="HP6" s="17">
        <v>350985</v>
      </c>
      <c r="HQ6" s="17">
        <v>373825</v>
      </c>
      <c r="HR6" s="17">
        <v>373825</v>
      </c>
      <c r="HS6" s="17">
        <v>373825</v>
      </c>
      <c r="HT6" s="17">
        <v>373825</v>
      </c>
      <c r="HU6" s="17">
        <v>373825</v>
      </c>
      <c r="HV6" s="17">
        <v>373825</v>
      </c>
      <c r="HW6" s="17">
        <v>373825</v>
      </c>
      <c r="HX6" s="17">
        <v>390836</v>
      </c>
      <c r="HY6" s="17">
        <v>390836</v>
      </c>
      <c r="HZ6" s="17">
        <v>390836</v>
      </c>
      <c r="IA6" s="17">
        <v>390836</v>
      </c>
      <c r="IB6" s="17">
        <v>390836</v>
      </c>
      <c r="IC6" s="17">
        <v>390836</v>
      </c>
      <c r="ID6" s="17">
        <v>390836</v>
      </c>
      <c r="IE6" s="17">
        <v>407492</v>
      </c>
      <c r="IF6" s="17">
        <v>407492</v>
      </c>
      <c r="IG6" s="17">
        <v>407492</v>
      </c>
      <c r="IH6" s="17">
        <v>407492</v>
      </c>
      <c r="II6" s="17">
        <v>407492</v>
      </c>
      <c r="IJ6" s="17">
        <v>407492</v>
      </c>
      <c r="IK6" s="17">
        <v>407492</v>
      </c>
      <c r="IL6" s="17">
        <v>425980</v>
      </c>
      <c r="IM6" s="17">
        <v>425980</v>
      </c>
      <c r="IN6" s="17">
        <v>425980</v>
      </c>
      <c r="IO6" s="17">
        <v>425980</v>
      </c>
      <c r="IP6" s="17">
        <v>425980</v>
      </c>
      <c r="IQ6" s="17">
        <v>425980</v>
      </c>
      <c r="IR6" s="17">
        <v>425980</v>
      </c>
      <c r="IS6" s="17">
        <v>434686</v>
      </c>
      <c r="IT6" s="17">
        <v>434686</v>
      </c>
      <c r="IU6" s="17">
        <v>434686</v>
      </c>
      <c r="IV6" s="17">
        <v>434686</v>
      </c>
      <c r="IW6" s="17">
        <v>434686</v>
      </c>
      <c r="IX6" s="17">
        <v>434686</v>
      </c>
      <c r="IY6" s="17">
        <v>434686</v>
      </c>
      <c r="IZ6" s="17">
        <v>444239</v>
      </c>
      <c r="JA6" s="17">
        <v>444239</v>
      </c>
      <c r="JB6" s="17">
        <v>445657</v>
      </c>
      <c r="JC6" s="17">
        <v>445657</v>
      </c>
      <c r="JD6" s="17">
        <v>445657</v>
      </c>
      <c r="JE6" s="17">
        <v>445657</v>
      </c>
      <c r="JF6" s="17">
        <v>445657</v>
      </c>
      <c r="JG6" s="17">
        <v>452230</v>
      </c>
      <c r="JH6" s="17">
        <v>452230</v>
      </c>
      <c r="JI6" s="17">
        <v>452230</v>
      </c>
      <c r="JJ6" s="17">
        <v>452230</v>
      </c>
      <c r="JK6" s="17">
        <v>452230</v>
      </c>
      <c r="JL6" s="17">
        <v>452230</v>
      </c>
      <c r="JM6" s="17">
        <v>452230</v>
      </c>
      <c r="JN6" s="17">
        <v>460239</v>
      </c>
      <c r="JO6" s="17">
        <v>460239</v>
      </c>
      <c r="JP6" s="17">
        <v>462943</v>
      </c>
      <c r="JQ6" s="17">
        <v>462943</v>
      </c>
      <c r="JR6" s="17">
        <v>462943</v>
      </c>
      <c r="JS6" s="17">
        <v>462943</v>
      </c>
      <c r="JT6" s="17">
        <v>462943</v>
      </c>
      <c r="JU6" s="17">
        <v>468239</v>
      </c>
      <c r="JV6" s="17">
        <v>468239</v>
      </c>
      <c r="JW6" s="17">
        <v>471501</v>
      </c>
      <c r="JX6" s="17">
        <v>471501</v>
      </c>
      <c r="JY6" s="17">
        <v>471501</v>
      </c>
      <c r="JZ6" s="17">
        <v>471501</v>
      </c>
      <c r="KA6" s="17">
        <v>471501</v>
      </c>
      <c r="KB6" s="17">
        <v>475281</v>
      </c>
      <c r="KC6" s="17">
        <v>475281</v>
      </c>
      <c r="KD6" s="17">
        <v>475281</v>
      </c>
      <c r="KE6" s="17">
        <v>475281</v>
      </c>
      <c r="KF6" s="17">
        <v>475281</v>
      </c>
      <c r="KG6" s="17">
        <v>475281</v>
      </c>
      <c r="KH6" s="17">
        <v>475281</v>
      </c>
      <c r="KI6" s="17">
        <v>477289</v>
      </c>
      <c r="KJ6" s="17">
        <v>477289</v>
      </c>
      <c r="KK6" s="17">
        <v>477289</v>
      </c>
      <c r="KL6" s="17">
        <v>477289</v>
      </c>
      <c r="KM6" s="17">
        <v>477289</v>
      </c>
      <c r="KN6" s="17">
        <v>477289</v>
      </c>
      <c r="KO6" s="17">
        <v>477289</v>
      </c>
      <c r="KP6" s="17">
        <v>477440</v>
      </c>
      <c r="KQ6" s="17">
        <v>477440</v>
      </c>
      <c r="KR6" s="17">
        <v>477440</v>
      </c>
      <c r="KS6" s="17">
        <v>477440</v>
      </c>
      <c r="KT6" s="17">
        <v>477440</v>
      </c>
      <c r="KU6" s="17">
        <v>477440</v>
      </c>
      <c r="KV6" s="17">
        <v>477440</v>
      </c>
      <c r="KW6" s="17">
        <v>477591</v>
      </c>
      <c r="KX6" s="17">
        <v>477591</v>
      </c>
      <c r="KY6" s="17">
        <v>477591</v>
      </c>
      <c r="KZ6" s="17">
        <v>477591</v>
      </c>
      <c r="LA6" s="17">
        <v>477591</v>
      </c>
      <c r="LB6" s="17">
        <v>477591</v>
      </c>
      <c r="LC6" s="17">
        <v>477591</v>
      </c>
      <c r="LD6" s="17">
        <v>477741</v>
      </c>
      <c r="LE6" s="17">
        <v>477741</v>
      </c>
      <c r="LF6" s="17">
        <v>477741</v>
      </c>
      <c r="LG6" s="17">
        <v>477741</v>
      </c>
      <c r="LH6" s="17">
        <v>477741</v>
      </c>
      <c r="LI6" s="17">
        <v>477741</v>
      </c>
      <c r="LJ6" s="17">
        <v>477741</v>
      </c>
      <c r="LK6" s="17">
        <v>478068</v>
      </c>
      <c r="LL6" s="17">
        <v>478068</v>
      </c>
      <c r="LM6" s="17">
        <v>478068</v>
      </c>
      <c r="LN6" s="17">
        <v>478068</v>
      </c>
      <c r="LO6" s="17">
        <v>478068</v>
      </c>
      <c r="LP6" s="17">
        <v>478068</v>
      </c>
      <c r="LQ6" s="17">
        <v>478068</v>
      </c>
      <c r="LR6" s="17">
        <v>478967</v>
      </c>
      <c r="LS6" s="17">
        <v>478967</v>
      </c>
      <c r="LT6" s="17">
        <v>478967</v>
      </c>
      <c r="LU6" s="17">
        <v>478967</v>
      </c>
      <c r="LV6" s="17">
        <v>478967</v>
      </c>
      <c r="LW6" s="17">
        <v>478967</v>
      </c>
      <c r="LX6" s="17">
        <v>478967</v>
      </c>
      <c r="LY6" s="17">
        <v>484033</v>
      </c>
      <c r="LZ6" s="17">
        <v>484033</v>
      </c>
      <c r="MA6" s="17">
        <v>484033</v>
      </c>
      <c r="MB6" s="17">
        <v>484033</v>
      </c>
      <c r="MC6" s="17">
        <v>484033</v>
      </c>
      <c r="MD6" s="17">
        <v>484033</v>
      </c>
      <c r="ME6" s="17">
        <v>484033</v>
      </c>
      <c r="MF6" s="17">
        <v>501903</v>
      </c>
      <c r="MG6" s="17">
        <v>501903</v>
      </c>
      <c r="MH6" s="17">
        <v>501903</v>
      </c>
      <c r="MI6" s="17">
        <v>501903</v>
      </c>
      <c r="MJ6" s="17">
        <v>501903</v>
      </c>
      <c r="MK6" s="17">
        <v>501903</v>
      </c>
      <c r="ML6" s="17">
        <v>501903</v>
      </c>
      <c r="MM6" s="17">
        <v>513894</v>
      </c>
      <c r="MN6" s="17">
        <v>513894</v>
      </c>
      <c r="MO6" s="17">
        <v>513894</v>
      </c>
      <c r="MP6" s="17">
        <v>513894</v>
      </c>
      <c r="MQ6" s="17">
        <v>513894</v>
      </c>
      <c r="MR6" s="17">
        <v>513894</v>
      </c>
      <c r="MS6" s="17">
        <v>513894</v>
      </c>
      <c r="MT6" s="17">
        <v>529291</v>
      </c>
      <c r="MU6" s="17">
        <v>529291</v>
      </c>
      <c r="MV6" s="17">
        <v>529291</v>
      </c>
      <c r="MW6" s="17">
        <v>529291</v>
      </c>
      <c r="MX6" s="17">
        <v>529291</v>
      </c>
      <c r="MY6" s="17">
        <v>529291</v>
      </c>
      <c r="MZ6" s="17">
        <v>529291</v>
      </c>
      <c r="NA6" s="17">
        <v>545370</v>
      </c>
      <c r="NB6" s="17">
        <v>545370</v>
      </c>
      <c r="NC6" s="17">
        <v>545370</v>
      </c>
      <c r="ND6" s="17">
        <v>545370</v>
      </c>
      <c r="NE6" s="17">
        <v>545370</v>
      </c>
      <c r="NF6" s="17">
        <v>545370</v>
      </c>
      <c r="NG6" s="17">
        <v>545370</v>
      </c>
      <c r="NH6" s="17">
        <v>560592</v>
      </c>
      <c r="NI6" s="17">
        <v>560592</v>
      </c>
      <c r="NJ6" s="17">
        <v>560592</v>
      </c>
      <c r="NK6" s="17">
        <v>560592</v>
      </c>
      <c r="NL6" s="17">
        <v>560592</v>
      </c>
      <c r="NM6" s="17">
        <v>560592</v>
      </c>
      <c r="NN6" s="17">
        <v>560592</v>
      </c>
      <c r="NO6" s="17">
        <v>575059</v>
      </c>
      <c r="NP6" s="17">
        <v>575059</v>
      </c>
      <c r="NQ6" s="17">
        <v>575059</v>
      </c>
      <c r="NR6" s="17">
        <v>575059</v>
      </c>
      <c r="NS6" s="17">
        <v>575059</v>
      </c>
      <c r="NT6" s="17">
        <v>575059</v>
      </c>
      <c r="NU6" s="17">
        <v>575059</v>
      </c>
      <c r="NV6" s="17">
        <v>588781</v>
      </c>
      <c r="NW6" s="17">
        <v>588781</v>
      </c>
      <c r="NX6" s="17">
        <v>588781</v>
      </c>
      <c r="NY6" s="17">
        <v>588781</v>
      </c>
      <c r="NZ6" s="17">
        <v>588781</v>
      </c>
      <c r="OA6" s="17">
        <v>588781</v>
      </c>
      <c r="OB6" s="17">
        <v>588781</v>
      </c>
      <c r="OC6" s="17">
        <v>601522</v>
      </c>
      <c r="OD6" s="17">
        <v>601522</v>
      </c>
      <c r="OE6" s="17">
        <v>601522</v>
      </c>
      <c r="OF6" s="17">
        <v>601522</v>
      </c>
      <c r="OG6" s="17">
        <v>601522</v>
      </c>
      <c r="OH6" s="17">
        <v>601522</v>
      </c>
      <c r="OI6" s="17">
        <v>601522</v>
      </c>
      <c r="OJ6" s="17">
        <v>605769</v>
      </c>
      <c r="OK6" s="17">
        <v>605769</v>
      </c>
      <c r="OL6" s="17">
        <v>605769</v>
      </c>
      <c r="OM6" s="17">
        <v>605769</v>
      </c>
      <c r="ON6" s="17">
        <v>605769</v>
      </c>
      <c r="OO6" s="17">
        <v>605769</v>
      </c>
      <c r="OP6" s="17">
        <v>605769</v>
      </c>
      <c r="OQ6" s="17">
        <v>610016</v>
      </c>
      <c r="OR6" s="17">
        <v>610016</v>
      </c>
      <c r="OS6" s="17">
        <v>610016</v>
      </c>
      <c r="OT6" s="17">
        <v>610016</v>
      </c>
      <c r="OU6" s="17">
        <v>610016</v>
      </c>
      <c r="OV6" s="17">
        <v>610016</v>
      </c>
      <c r="OW6" s="17">
        <v>610016</v>
      </c>
      <c r="OX6" s="17">
        <v>614263</v>
      </c>
      <c r="OY6" s="17">
        <v>614263</v>
      </c>
      <c r="OZ6" s="17">
        <v>614263</v>
      </c>
      <c r="PA6" s="17">
        <v>614263</v>
      </c>
      <c r="PB6" s="17">
        <v>614263</v>
      </c>
      <c r="PC6" s="17">
        <v>614263</v>
      </c>
      <c r="PD6" s="17">
        <v>614263</v>
      </c>
      <c r="PE6" s="17">
        <v>618510</v>
      </c>
      <c r="PF6" s="17">
        <v>618510</v>
      </c>
      <c r="PG6" s="17">
        <v>618510</v>
      </c>
      <c r="PH6" s="17">
        <v>618510</v>
      </c>
      <c r="PI6" s="17">
        <v>618510</v>
      </c>
      <c r="PJ6" s="17">
        <v>618510</v>
      </c>
      <c r="PK6" s="17">
        <v>618510</v>
      </c>
      <c r="PL6" s="17">
        <v>618510</v>
      </c>
    </row>
    <row r="7" spans="1:428" s="12" customFormat="1" outlineLevel="1">
      <c r="A7" s="20" t="s">
        <v>19</v>
      </c>
      <c r="B7" s="12" t="s">
        <v>20</v>
      </c>
      <c r="C7" s="12" t="str">
        <f t="shared" si="21"/>
        <v>LensRectangle MLINEN</v>
      </c>
      <c r="D7" s="12" t="s">
        <v>36</v>
      </c>
      <c r="E7" s="16" t="s">
        <v>14</v>
      </c>
      <c r="F7" s="13" t="s">
        <v>0</v>
      </c>
      <c r="G7" s="13" t="s">
        <v>3</v>
      </c>
      <c r="H7" s="14">
        <v>318003500483</v>
      </c>
      <c r="I7" s="13"/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0</v>
      </c>
      <c r="CR7" s="17">
        <v>0</v>
      </c>
      <c r="CS7" s="17">
        <v>0</v>
      </c>
      <c r="CT7" s="17">
        <v>0</v>
      </c>
      <c r="CU7" s="17">
        <v>0</v>
      </c>
      <c r="CV7" s="17">
        <v>0</v>
      </c>
      <c r="CW7" s="17">
        <v>0</v>
      </c>
      <c r="CX7" s="17">
        <v>0</v>
      </c>
      <c r="CY7" s="17">
        <v>0</v>
      </c>
      <c r="CZ7" s="17">
        <v>0</v>
      </c>
      <c r="DA7" s="17">
        <v>0</v>
      </c>
      <c r="DB7" s="17">
        <v>0</v>
      </c>
      <c r="DC7" s="17">
        <v>0</v>
      </c>
      <c r="DD7" s="17">
        <v>0</v>
      </c>
      <c r="DE7" s="17">
        <v>0</v>
      </c>
      <c r="DF7" s="17">
        <v>0</v>
      </c>
      <c r="DG7" s="17">
        <v>0</v>
      </c>
      <c r="DH7" s="17">
        <v>0</v>
      </c>
      <c r="DI7" s="17">
        <v>0</v>
      </c>
      <c r="DJ7" s="17">
        <v>0</v>
      </c>
      <c r="DK7" s="17">
        <v>0</v>
      </c>
      <c r="DL7" s="17">
        <v>0</v>
      </c>
      <c r="DM7" s="17">
        <v>0</v>
      </c>
      <c r="DN7" s="17">
        <v>0</v>
      </c>
      <c r="DO7" s="17">
        <v>540</v>
      </c>
      <c r="DP7" s="17">
        <v>2548</v>
      </c>
      <c r="DQ7" s="17">
        <v>2548</v>
      </c>
      <c r="DR7" s="17">
        <v>2548</v>
      </c>
      <c r="DS7" s="17">
        <v>6854</v>
      </c>
      <c r="DT7" s="17">
        <v>10865</v>
      </c>
      <c r="DU7" s="17">
        <v>10586</v>
      </c>
      <c r="DV7" s="17">
        <v>10586</v>
      </c>
      <c r="DW7" s="17">
        <v>10586</v>
      </c>
      <c r="DX7" s="17">
        <v>10586</v>
      </c>
      <c r="DY7" s="17">
        <v>10586</v>
      </c>
      <c r="DZ7" s="17">
        <v>10586</v>
      </c>
      <c r="EA7" s="17">
        <v>10586</v>
      </c>
      <c r="EB7" s="17">
        <v>10586</v>
      </c>
      <c r="EC7" s="17">
        <v>10586</v>
      </c>
      <c r="ED7" s="17">
        <v>10586</v>
      </c>
      <c r="EE7" s="17">
        <v>10586</v>
      </c>
      <c r="EF7" s="17">
        <v>10586</v>
      </c>
      <c r="EG7" s="17">
        <v>10586</v>
      </c>
      <c r="EH7" s="17">
        <v>10586</v>
      </c>
      <c r="EI7" s="17">
        <v>10586</v>
      </c>
      <c r="EJ7" s="17">
        <v>10586</v>
      </c>
      <c r="EK7" s="17">
        <v>10586</v>
      </c>
      <c r="EL7" s="17">
        <v>10586</v>
      </c>
      <c r="EM7" s="17">
        <v>10586</v>
      </c>
      <c r="EN7" s="17">
        <v>10586</v>
      </c>
      <c r="EO7" s="17">
        <v>16247</v>
      </c>
      <c r="EP7" s="17">
        <v>16247</v>
      </c>
      <c r="EQ7" s="17">
        <v>16247</v>
      </c>
      <c r="ER7" s="17">
        <v>17889</v>
      </c>
      <c r="ES7" s="17">
        <v>0</v>
      </c>
      <c r="ET7" s="17">
        <v>0</v>
      </c>
      <c r="EU7" s="17">
        <v>0</v>
      </c>
      <c r="EV7" s="17">
        <v>0</v>
      </c>
      <c r="EW7" s="17">
        <v>0</v>
      </c>
      <c r="EX7" s="17">
        <v>0</v>
      </c>
      <c r="EY7" s="17">
        <v>11944</v>
      </c>
      <c r="EZ7" s="17">
        <v>11944</v>
      </c>
      <c r="FA7" s="17">
        <v>11944</v>
      </c>
      <c r="FB7" s="17">
        <v>11944</v>
      </c>
      <c r="FC7" s="17">
        <v>11944</v>
      </c>
      <c r="FD7" s="17">
        <v>11944</v>
      </c>
      <c r="FE7" s="17">
        <v>11944</v>
      </c>
      <c r="FF7" s="17">
        <v>18607</v>
      </c>
      <c r="FG7" s="17">
        <v>18607</v>
      </c>
      <c r="FH7" s="17">
        <v>18607</v>
      </c>
      <c r="FI7" s="17">
        <v>18607</v>
      </c>
      <c r="FJ7" s="17">
        <v>18607</v>
      </c>
      <c r="FK7" s="17">
        <v>18607</v>
      </c>
      <c r="FL7" s="17">
        <v>18607</v>
      </c>
      <c r="FM7" s="17">
        <v>18993</v>
      </c>
      <c r="FN7" s="17">
        <v>18993</v>
      </c>
      <c r="FO7" s="17">
        <v>18993</v>
      </c>
      <c r="FP7" s="17">
        <v>19149</v>
      </c>
      <c r="FQ7" s="17">
        <v>19149</v>
      </c>
      <c r="FR7" s="17">
        <v>19149</v>
      </c>
      <c r="FS7" s="17">
        <v>19149</v>
      </c>
      <c r="FT7" s="17">
        <v>19533</v>
      </c>
      <c r="FU7" s="17">
        <v>19533</v>
      </c>
      <c r="FV7" s="17">
        <v>19533</v>
      </c>
      <c r="FW7" s="17">
        <v>20231</v>
      </c>
      <c r="FX7" s="17">
        <v>20231</v>
      </c>
      <c r="FY7" s="17">
        <v>20231</v>
      </c>
      <c r="FZ7" s="17">
        <v>20231</v>
      </c>
      <c r="GA7" s="17">
        <v>20523</v>
      </c>
      <c r="GB7" s="17">
        <v>20523</v>
      </c>
      <c r="GC7" s="17">
        <v>20523</v>
      </c>
      <c r="GD7" s="17">
        <v>20848</v>
      </c>
      <c r="GE7" s="17">
        <v>20848</v>
      </c>
      <c r="GF7" s="17">
        <v>20848</v>
      </c>
      <c r="GG7" s="17">
        <v>20848</v>
      </c>
      <c r="GH7" s="17">
        <v>20973</v>
      </c>
      <c r="GI7" s="17">
        <v>20973</v>
      </c>
      <c r="GJ7" s="17">
        <v>20973</v>
      </c>
      <c r="GK7" s="17">
        <v>21349</v>
      </c>
      <c r="GL7" s="17">
        <v>21349</v>
      </c>
      <c r="GM7" s="17">
        <v>21349</v>
      </c>
      <c r="GN7" s="17">
        <v>21349</v>
      </c>
      <c r="GO7" s="17">
        <v>21513</v>
      </c>
      <c r="GP7" s="17">
        <v>21513</v>
      </c>
      <c r="GQ7" s="17">
        <v>21513</v>
      </c>
      <c r="GR7" s="17">
        <v>21824</v>
      </c>
      <c r="GS7" s="17">
        <v>21824</v>
      </c>
      <c r="GT7" s="17">
        <v>21824</v>
      </c>
      <c r="GU7" s="17">
        <v>21824</v>
      </c>
      <c r="GV7" s="17">
        <v>22053</v>
      </c>
      <c r="GW7" s="17">
        <v>22053</v>
      </c>
      <c r="GX7" s="17">
        <v>22053</v>
      </c>
      <c r="GY7" s="17">
        <v>22426</v>
      </c>
      <c r="GZ7" s="17">
        <v>22426</v>
      </c>
      <c r="HA7" s="17">
        <v>22426</v>
      </c>
      <c r="HB7" s="17">
        <v>22426</v>
      </c>
      <c r="HC7" s="17">
        <v>22773</v>
      </c>
      <c r="HD7" s="17">
        <v>22773</v>
      </c>
      <c r="HE7" s="17">
        <v>22773</v>
      </c>
      <c r="HF7" s="17">
        <v>23049</v>
      </c>
      <c r="HG7" s="17">
        <v>23049</v>
      </c>
      <c r="HH7" s="17">
        <v>23049</v>
      </c>
      <c r="HI7" s="17">
        <v>23049</v>
      </c>
      <c r="HJ7" s="17">
        <v>23493</v>
      </c>
      <c r="HK7" s="17">
        <v>23493</v>
      </c>
      <c r="HL7" s="17">
        <v>23493</v>
      </c>
      <c r="HM7" s="17">
        <v>23680</v>
      </c>
      <c r="HN7" s="17">
        <v>23680</v>
      </c>
      <c r="HO7" s="17">
        <v>23680</v>
      </c>
      <c r="HP7" s="17">
        <v>23680</v>
      </c>
      <c r="HQ7" s="17">
        <v>24213</v>
      </c>
      <c r="HR7" s="17">
        <v>24213</v>
      </c>
      <c r="HS7" s="17">
        <v>24340</v>
      </c>
      <c r="HT7" s="17">
        <v>24340</v>
      </c>
      <c r="HU7" s="17">
        <v>24340</v>
      </c>
      <c r="HV7" s="17">
        <v>24340</v>
      </c>
      <c r="HW7" s="17">
        <v>24340</v>
      </c>
      <c r="HX7" s="17">
        <v>25113</v>
      </c>
      <c r="HY7" s="17">
        <v>25113</v>
      </c>
      <c r="HZ7" s="17">
        <v>25171</v>
      </c>
      <c r="IA7" s="17">
        <v>25171</v>
      </c>
      <c r="IB7" s="17">
        <v>25171</v>
      </c>
      <c r="IC7" s="17">
        <v>25171</v>
      </c>
      <c r="ID7" s="17">
        <v>25171</v>
      </c>
      <c r="IE7" s="17">
        <v>26079</v>
      </c>
      <c r="IF7" s="17">
        <v>26079</v>
      </c>
      <c r="IG7" s="17">
        <v>26079</v>
      </c>
      <c r="IH7" s="17">
        <v>26079</v>
      </c>
      <c r="II7" s="17">
        <v>26079</v>
      </c>
      <c r="IJ7" s="17">
        <v>26079</v>
      </c>
      <c r="IK7" s="17">
        <v>26079</v>
      </c>
      <c r="IL7" s="17">
        <v>26913</v>
      </c>
      <c r="IM7" s="17">
        <v>26913</v>
      </c>
      <c r="IN7" s="17">
        <v>26964</v>
      </c>
      <c r="IO7" s="17">
        <v>26964</v>
      </c>
      <c r="IP7" s="17">
        <v>26964</v>
      </c>
      <c r="IQ7" s="17">
        <v>26964</v>
      </c>
      <c r="IR7" s="17">
        <v>26964</v>
      </c>
      <c r="IS7" s="17">
        <v>27453</v>
      </c>
      <c r="IT7" s="17">
        <v>27453</v>
      </c>
      <c r="IU7" s="17">
        <v>27465</v>
      </c>
      <c r="IV7" s="17">
        <v>27465</v>
      </c>
      <c r="IW7" s="17">
        <v>27465</v>
      </c>
      <c r="IX7" s="17">
        <v>27465</v>
      </c>
      <c r="IY7" s="17">
        <v>27465</v>
      </c>
      <c r="IZ7" s="17">
        <v>27723</v>
      </c>
      <c r="JA7" s="17">
        <v>27723</v>
      </c>
      <c r="JB7" s="17">
        <v>27778</v>
      </c>
      <c r="JC7" s="17">
        <v>27778</v>
      </c>
      <c r="JD7" s="17">
        <v>27778</v>
      </c>
      <c r="JE7" s="17">
        <v>27778</v>
      </c>
      <c r="JF7" s="17">
        <v>27778</v>
      </c>
      <c r="JG7" s="17">
        <v>28436</v>
      </c>
      <c r="JH7" s="17">
        <v>28436</v>
      </c>
      <c r="JI7" s="17">
        <v>28436</v>
      </c>
      <c r="JJ7" s="17">
        <v>28436</v>
      </c>
      <c r="JK7" s="17">
        <v>28436</v>
      </c>
      <c r="JL7" s="17">
        <v>28436</v>
      </c>
      <c r="JM7" s="17">
        <v>28436</v>
      </c>
      <c r="JN7" s="17">
        <v>28792</v>
      </c>
      <c r="JO7" s="17">
        <v>28792</v>
      </c>
      <c r="JP7" s="17">
        <v>28792</v>
      </c>
      <c r="JQ7" s="17">
        <v>28792</v>
      </c>
      <c r="JR7" s="17">
        <v>28792</v>
      </c>
      <c r="JS7" s="17">
        <v>28792</v>
      </c>
      <c r="JT7" s="17">
        <v>28792</v>
      </c>
      <c r="JU7" s="17">
        <v>29253</v>
      </c>
      <c r="JV7" s="17">
        <v>29253</v>
      </c>
      <c r="JW7" s="17">
        <v>29294</v>
      </c>
      <c r="JX7" s="17">
        <v>29294</v>
      </c>
      <c r="JY7" s="17">
        <v>29294</v>
      </c>
      <c r="JZ7" s="17">
        <v>29294</v>
      </c>
      <c r="KA7" s="17">
        <v>29294</v>
      </c>
      <c r="KB7" s="17">
        <v>29703</v>
      </c>
      <c r="KC7" s="17">
        <v>29703</v>
      </c>
      <c r="KD7" s="17">
        <v>29765</v>
      </c>
      <c r="KE7" s="17">
        <v>29765</v>
      </c>
      <c r="KF7" s="17">
        <v>29765</v>
      </c>
      <c r="KG7" s="17">
        <v>29765</v>
      </c>
      <c r="KH7" s="17">
        <v>29765</v>
      </c>
      <c r="KI7" s="17">
        <v>30243</v>
      </c>
      <c r="KJ7" s="17">
        <v>30243</v>
      </c>
      <c r="KK7" s="17">
        <v>30243</v>
      </c>
      <c r="KL7" s="17">
        <v>30243</v>
      </c>
      <c r="KM7" s="17">
        <v>30243</v>
      </c>
      <c r="KN7" s="17">
        <v>30243</v>
      </c>
      <c r="KO7" s="17">
        <v>30243</v>
      </c>
      <c r="KP7" s="17">
        <v>30243</v>
      </c>
      <c r="KQ7" s="17">
        <v>30243</v>
      </c>
      <c r="KR7" s="17">
        <v>30292</v>
      </c>
      <c r="KS7" s="17">
        <v>30292</v>
      </c>
      <c r="KT7" s="17">
        <v>30292</v>
      </c>
      <c r="KU7" s="17">
        <v>30292</v>
      </c>
      <c r="KV7" s="17">
        <v>30292</v>
      </c>
      <c r="KW7" s="17">
        <v>30323</v>
      </c>
      <c r="KX7" s="17">
        <v>30323</v>
      </c>
      <c r="KY7" s="17">
        <v>30323</v>
      </c>
      <c r="KZ7" s="17">
        <v>30323</v>
      </c>
      <c r="LA7" s="17">
        <v>30323</v>
      </c>
      <c r="LB7" s="17">
        <v>30323</v>
      </c>
      <c r="LC7" s="17">
        <v>30323</v>
      </c>
      <c r="LD7" s="17">
        <v>30333</v>
      </c>
      <c r="LE7" s="17">
        <v>30333</v>
      </c>
      <c r="LF7" s="17">
        <v>30353</v>
      </c>
      <c r="LG7" s="17">
        <v>30353</v>
      </c>
      <c r="LH7" s="17">
        <v>30353</v>
      </c>
      <c r="LI7" s="17">
        <v>30353</v>
      </c>
      <c r="LJ7" s="17">
        <v>30353</v>
      </c>
      <c r="LK7" s="17">
        <v>30423</v>
      </c>
      <c r="LL7" s="17">
        <v>30423</v>
      </c>
      <c r="LM7" s="17">
        <v>30433</v>
      </c>
      <c r="LN7" s="17">
        <v>30433</v>
      </c>
      <c r="LO7" s="17">
        <v>30433</v>
      </c>
      <c r="LP7" s="17">
        <v>30433</v>
      </c>
      <c r="LQ7" s="17">
        <v>30433</v>
      </c>
      <c r="LR7" s="17">
        <v>30675</v>
      </c>
      <c r="LS7" s="17">
        <v>30675</v>
      </c>
      <c r="LT7" s="17">
        <v>30675</v>
      </c>
      <c r="LU7" s="17">
        <v>30675</v>
      </c>
      <c r="LV7" s="17">
        <v>30675</v>
      </c>
      <c r="LW7" s="17">
        <v>30675</v>
      </c>
      <c r="LX7" s="17">
        <v>30675</v>
      </c>
      <c r="LY7" s="17">
        <v>31762</v>
      </c>
      <c r="LZ7" s="17">
        <v>31762</v>
      </c>
      <c r="MA7" s="17">
        <v>31762</v>
      </c>
      <c r="MB7" s="17">
        <v>31762</v>
      </c>
      <c r="MC7" s="17">
        <v>31762</v>
      </c>
      <c r="MD7" s="17">
        <v>31762</v>
      </c>
      <c r="ME7" s="17">
        <v>31762</v>
      </c>
      <c r="MF7" s="17">
        <v>32293</v>
      </c>
      <c r="MG7" s="17">
        <v>32293</v>
      </c>
      <c r="MH7" s="17">
        <v>32293</v>
      </c>
      <c r="MI7" s="17">
        <v>32293</v>
      </c>
      <c r="MJ7" s="17">
        <v>32293</v>
      </c>
      <c r="MK7" s="17">
        <v>32293</v>
      </c>
      <c r="ML7" s="17">
        <v>32293</v>
      </c>
      <c r="MM7" s="17">
        <v>32938</v>
      </c>
      <c r="MN7" s="17">
        <v>32938</v>
      </c>
      <c r="MO7" s="17">
        <v>32938</v>
      </c>
      <c r="MP7" s="17">
        <v>32938</v>
      </c>
      <c r="MQ7" s="17">
        <v>32938</v>
      </c>
      <c r="MR7" s="17">
        <v>32938</v>
      </c>
      <c r="MS7" s="17">
        <v>32938</v>
      </c>
      <c r="MT7" s="17">
        <v>33560</v>
      </c>
      <c r="MU7" s="17">
        <v>33560</v>
      </c>
      <c r="MV7" s="17">
        <v>33560</v>
      </c>
      <c r="MW7" s="17">
        <v>33560</v>
      </c>
      <c r="MX7" s="17">
        <v>33560</v>
      </c>
      <c r="MY7" s="17">
        <v>33560</v>
      </c>
      <c r="MZ7" s="17">
        <v>33560</v>
      </c>
      <c r="NA7" s="17">
        <v>34123</v>
      </c>
      <c r="NB7" s="17">
        <v>34123</v>
      </c>
      <c r="NC7" s="17">
        <v>34123</v>
      </c>
      <c r="ND7" s="17">
        <v>34123</v>
      </c>
      <c r="NE7" s="17">
        <v>34123</v>
      </c>
      <c r="NF7" s="17">
        <v>34123</v>
      </c>
      <c r="NG7" s="17">
        <v>34123</v>
      </c>
      <c r="NH7" s="17">
        <v>34712</v>
      </c>
      <c r="NI7" s="17">
        <v>34712</v>
      </c>
      <c r="NJ7" s="17">
        <v>34712</v>
      </c>
      <c r="NK7" s="17">
        <v>34712</v>
      </c>
      <c r="NL7" s="17">
        <v>34712</v>
      </c>
      <c r="NM7" s="17">
        <v>34712</v>
      </c>
      <c r="NN7" s="17">
        <v>34712</v>
      </c>
      <c r="NO7" s="17">
        <v>35394</v>
      </c>
      <c r="NP7" s="17">
        <v>35394</v>
      </c>
      <c r="NQ7" s="17">
        <v>35394</v>
      </c>
      <c r="NR7" s="17">
        <v>35394</v>
      </c>
      <c r="NS7" s="17">
        <v>35394</v>
      </c>
      <c r="NT7" s="17">
        <v>35394</v>
      </c>
      <c r="NU7" s="17">
        <v>35394</v>
      </c>
      <c r="NV7" s="17">
        <v>36156</v>
      </c>
      <c r="NW7" s="17">
        <v>36156</v>
      </c>
      <c r="NX7" s="17">
        <v>36156</v>
      </c>
      <c r="NY7" s="17">
        <v>36156</v>
      </c>
      <c r="NZ7" s="17">
        <v>36156</v>
      </c>
      <c r="OA7" s="17">
        <v>36156</v>
      </c>
      <c r="OB7" s="17">
        <v>36156</v>
      </c>
      <c r="OC7" s="17">
        <v>36938</v>
      </c>
      <c r="OD7" s="17">
        <v>36938</v>
      </c>
      <c r="OE7" s="17">
        <v>36938</v>
      </c>
      <c r="OF7" s="17">
        <v>36938</v>
      </c>
      <c r="OG7" s="17">
        <v>36938</v>
      </c>
      <c r="OH7" s="17">
        <v>36938</v>
      </c>
      <c r="OI7" s="17">
        <v>36938</v>
      </c>
      <c r="OJ7" s="17">
        <v>37199</v>
      </c>
      <c r="OK7" s="17">
        <v>37199</v>
      </c>
      <c r="OL7" s="17">
        <v>37199</v>
      </c>
      <c r="OM7" s="17">
        <v>37199</v>
      </c>
      <c r="ON7" s="17">
        <v>37199</v>
      </c>
      <c r="OO7" s="17">
        <v>37199</v>
      </c>
      <c r="OP7" s="17">
        <v>37199</v>
      </c>
      <c r="OQ7" s="17">
        <v>37460</v>
      </c>
      <c r="OR7" s="17">
        <v>37460</v>
      </c>
      <c r="OS7" s="17">
        <v>37460</v>
      </c>
      <c r="OT7" s="17">
        <v>37460</v>
      </c>
      <c r="OU7" s="17">
        <v>37460</v>
      </c>
      <c r="OV7" s="17">
        <v>37460</v>
      </c>
      <c r="OW7" s="17">
        <v>37460</v>
      </c>
      <c r="OX7" s="17">
        <v>37721</v>
      </c>
      <c r="OY7" s="17">
        <v>37721</v>
      </c>
      <c r="OZ7" s="17">
        <v>37721</v>
      </c>
      <c r="PA7" s="17">
        <v>37721</v>
      </c>
      <c r="PB7" s="17">
        <v>37721</v>
      </c>
      <c r="PC7" s="17">
        <v>37721</v>
      </c>
      <c r="PD7" s="17">
        <v>37721</v>
      </c>
      <c r="PE7" s="17">
        <v>37982</v>
      </c>
      <c r="PF7" s="17">
        <v>37982</v>
      </c>
      <c r="PG7" s="17">
        <v>37982</v>
      </c>
      <c r="PH7" s="17">
        <v>37982</v>
      </c>
      <c r="PI7" s="17">
        <v>37982</v>
      </c>
      <c r="PJ7" s="17">
        <v>37982</v>
      </c>
      <c r="PK7" s="17">
        <v>37982</v>
      </c>
      <c r="PL7" s="17">
        <v>37982</v>
      </c>
    </row>
    <row r="8" spans="1:428" s="12" customFormat="1" outlineLevel="1">
      <c r="A8" s="20" t="s">
        <v>19</v>
      </c>
      <c r="B8" s="12" t="s">
        <v>20</v>
      </c>
      <c r="C8" s="12" t="str">
        <f t="shared" si="21"/>
        <v>LensRectangle MMERLOT</v>
      </c>
      <c r="D8" s="12" t="s">
        <v>36</v>
      </c>
      <c r="E8" s="16" t="s">
        <v>14</v>
      </c>
      <c r="F8" s="13" t="s">
        <v>0</v>
      </c>
      <c r="G8" s="13" t="s">
        <v>4</v>
      </c>
      <c r="H8" s="14">
        <v>318003500483</v>
      </c>
      <c r="I8" s="13"/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115</v>
      </c>
      <c r="CS8" s="17">
        <v>115</v>
      </c>
      <c r="CT8" s="17">
        <v>115</v>
      </c>
      <c r="CU8" s="17">
        <v>240</v>
      </c>
      <c r="CV8" s="17">
        <v>240</v>
      </c>
      <c r="CW8" s="17">
        <v>240</v>
      </c>
      <c r="CX8" s="17">
        <v>360</v>
      </c>
      <c r="CY8" s="17">
        <v>360</v>
      </c>
      <c r="CZ8" s="17">
        <v>360</v>
      </c>
      <c r="DA8" s="17">
        <v>450</v>
      </c>
      <c r="DB8" s="17">
        <v>445</v>
      </c>
      <c r="DC8" s="17">
        <v>445</v>
      </c>
      <c r="DD8" s="17">
        <v>445</v>
      </c>
      <c r="DE8" s="17">
        <v>445</v>
      </c>
      <c r="DF8" s="17">
        <v>445</v>
      </c>
      <c r="DG8" s="17">
        <v>445</v>
      </c>
      <c r="DH8" s="17">
        <v>445</v>
      </c>
      <c r="DI8" s="17">
        <v>445</v>
      </c>
      <c r="DJ8" s="17">
        <v>445</v>
      </c>
      <c r="DK8" s="17">
        <v>445</v>
      </c>
      <c r="DL8" s="17">
        <v>1995</v>
      </c>
      <c r="DM8" s="17">
        <v>3145</v>
      </c>
      <c r="DN8" s="17">
        <v>3145</v>
      </c>
      <c r="DO8" s="17">
        <v>4945</v>
      </c>
      <c r="DP8" s="17">
        <v>6565</v>
      </c>
      <c r="DQ8" s="17">
        <v>6565</v>
      </c>
      <c r="DR8" s="17">
        <v>6565</v>
      </c>
      <c r="DS8" s="17">
        <v>6565</v>
      </c>
      <c r="DT8" s="17">
        <v>6565</v>
      </c>
      <c r="DU8" s="17">
        <v>5506</v>
      </c>
      <c r="DV8" s="17">
        <v>5506</v>
      </c>
      <c r="DW8" s="17">
        <v>5895</v>
      </c>
      <c r="DX8" s="17">
        <v>5895</v>
      </c>
      <c r="DY8" s="17">
        <v>5895</v>
      </c>
      <c r="DZ8" s="17">
        <v>5895</v>
      </c>
      <c r="EA8" s="17">
        <v>5895</v>
      </c>
      <c r="EB8" s="17">
        <v>5895</v>
      </c>
      <c r="EC8" s="17">
        <v>5895</v>
      </c>
      <c r="ED8" s="17">
        <v>6025</v>
      </c>
      <c r="EE8" s="17">
        <v>6025</v>
      </c>
      <c r="EF8" s="17">
        <v>6025</v>
      </c>
      <c r="EG8" s="17">
        <v>6025</v>
      </c>
      <c r="EH8" s="17">
        <v>6025</v>
      </c>
      <c r="EI8" s="17">
        <v>6025</v>
      </c>
      <c r="EJ8" s="17">
        <v>6025</v>
      </c>
      <c r="EK8" s="17">
        <v>6414</v>
      </c>
      <c r="EL8" s="17">
        <v>6414</v>
      </c>
      <c r="EM8" s="17">
        <v>6414</v>
      </c>
      <c r="EN8" s="17">
        <v>6414</v>
      </c>
      <c r="EO8" s="17">
        <v>6414</v>
      </c>
      <c r="EP8" s="17">
        <v>6414</v>
      </c>
      <c r="EQ8" s="17">
        <v>6414</v>
      </c>
      <c r="ER8" s="17">
        <v>7062</v>
      </c>
      <c r="ES8" s="17">
        <v>0</v>
      </c>
      <c r="ET8" s="17">
        <v>0</v>
      </c>
      <c r="EU8" s="17">
        <v>0</v>
      </c>
      <c r="EV8" s="17">
        <v>0</v>
      </c>
      <c r="EW8" s="17">
        <v>0</v>
      </c>
      <c r="EX8" s="17">
        <v>0</v>
      </c>
      <c r="EY8" s="17">
        <v>6040</v>
      </c>
      <c r="EZ8" s="17">
        <v>6040</v>
      </c>
      <c r="FA8" s="17">
        <v>6040</v>
      </c>
      <c r="FB8" s="17">
        <v>6040</v>
      </c>
      <c r="FC8" s="17">
        <v>6040</v>
      </c>
      <c r="FD8" s="17">
        <v>6040</v>
      </c>
      <c r="FE8" s="17">
        <v>6040</v>
      </c>
      <c r="FF8" s="17">
        <v>6525</v>
      </c>
      <c r="FG8" s="17">
        <v>6525</v>
      </c>
      <c r="FH8" s="17">
        <v>6525</v>
      </c>
      <c r="FI8" s="17">
        <v>6525</v>
      </c>
      <c r="FJ8" s="17">
        <v>6525</v>
      </c>
      <c r="FK8" s="17">
        <v>6525</v>
      </c>
      <c r="FL8" s="17">
        <v>6525</v>
      </c>
      <c r="FM8" s="17">
        <v>6566</v>
      </c>
      <c r="FN8" s="17">
        <v>6566</v>
      </c>
      <c r="FO8" s="17">
        <v>6566</v>
      </c>
      <c r="FP8" s="17">
        <v>6566</v>
      </c>
      <c r="FQ8" s="17">
        <v>6566</v>
      </c>
      <c r="FR8" s="17">
        <v>6566</v>
      </c>
      <c r="FS8" s="17">
        <v>6566</v>
      </c>
      <c r="FT8" s="17">
        <v>6675</v>
      </c>
      <c r="FU8" s="17">
        <v>6675</v>
      </c>
      <c r="FV8" s="17">
        <v>6675</v>
      </c>
      <c r="FW8" s="17">
        <v>6675</v>
      </c>
      <c r="FX8" s="17">
        <v>6675</v>
      </c>
      <c r="FY8" s="17">
        <v>6675</v>
      </c>
      <c r="FZ8" s="17">
        <v>6675</v>
      </c>
      <c r="GA8" s="17">
        <v>6730</v>
      </c>
      <c r="GB8" s="17">
        <v>6730</v>
      </c>
      <c r="GC8" s="17">
        <v>6730</v>
      </c>
      <c r="GD8" s="17">
        <v>6730</v>
      </c>
      <c r="GE8" s="17">
        <v>6730</v>
      </c>
      <c r="GF8" s="17">
        <v>6730</v>
      </c>
      <c r="GG8" s="17">
        <v>6730</v>
      </c>
      <c r="GH8" s="17">
        <v>6773</v>
      </c>
      <c r="GI8" s="17">
        <v>6773</v>
      </c>
      <c r="GJ8" s="17">
        <v>6773</v>
      </c>
      <c r="GK8" s="17">
        <v>6773</v>
      </c>
      <c r="GL8" s="17">
        <v>6773</v>
      </c>
      <c r="GM8" s="17">
        <v>6773</v>
      </c>
      <c r="GN8" s="17">
        <v>6773</v>
      </c>
      <c r="GO8" s="17">
        <v>6817</v>
      </c>
      <c r="GP8" s="17">
        <v>6817</v>
      </c>
      <c r="GQ8" s="17">
        <v>6817</v>
      </c>
      <c r="GR8" s="17">
        <v>6817</v>
      </c>
      <c r="GS8" s="17">
        <v>6817</v>
      </c>
      <c r="GT8" s="17">
        <v>6817</v>
      </c>
      <c r="GU8" s="17">
        <v>6817</v>
      </c>
      <c r="GV8" s="17">
        <v>6878</v>
      </c>
      <c r="GW8" s="17">
        <v>6878</v>
      </c>
      <c r="GX8" s="17">
        <v>6878</v>
      </c>
      <c r="GY8" s="17">
        <v>6878</v>
      </c>
      <c r="GZ8" s="17">
        <v>6878</v>
      </c>
      <c r="HA8" s="17">
        <v>6878</v>
      </c>
      <c r="HB8" s="17">
        <v>6878</v>
      </c>
      <c r="HC8" s="17">
        <v>6943</v>
      </c>
      <c r="HD8" s="17">
        <v>6943</v>
      </c>
      <c r="HE8" s="17">
        <v>6943</v>
      </c>
      <c r="HF8" s="17">
        <v>6943</v>
      </c>
      <c r="HG8" s="17">
        <v>6943</v>
      </c>
      <c r="HH8" s="17">
        <v>6943</v>
      </c>
      <c r="HI8" s="17">
        <v>6943</v>
      </c>
      <c r="HJ8" s="17">
        <v>7009</v>
      </c>
      <c r="HK8" s="17">
        <v>7009</v>
      </c>
      <c r="HL8" s="17">
        <v>7009</v>
      </c>
      <c r="HM8" s="17">
        <v>7009</v>
      </c>
      <c r="HN8" s="17">
        <v>7009</v>
      </c>
      <c r="HO8" s="17">
        <v>7009</v>
      </c>
      <c r="HP8" s="17">
        <v>7009</v>
      </c>
      <c r="HQ8" s="17">
        <v>7061</v>
      </c>
      <c r="HR8" s="17">
        <v>7061</v>
      </c>
      <c r="HS8" s="17">
        <v>7061</v>
      </c>
      <c r="HT8" s="17">
        <v>7061</v>
      </c>
      <c r="HU8" s="17">
        <v>7061</v>
      </c>
      <c r="HV8" s="17">
        <v>7061</v>
      </c>
      <c r="HW8" s="17">
        <v>7061</v>
      </c>
      <c r="HX8" s="17">
        <v>7156</v>
      </c>
      <c r="HY8" s="17">
        <v>7156</v>
      </c>
      <c r="HZ8" s="17">
        <v>7156</v>
      </c>
      <c r="IA8" s="17">
        <v>7156</v>
      </c>
      <c r="IB8" s="17">
        <v>7156</v>
      </c>
      <c r="IC8" s="17">
        <v>7156</v>
      </c>
      <c r="ID8" s="17">
        <v>7156</v>
      </c>
      <c r="IE8" s="17">
        <v>7354</v>
      </c>
      <c r="IF8" s="17">
        <v>7354</v>
      </c>
      <c r="IG8" s="17">
        <v>7354</v>
      </c>
      <c r="IH8" s="17">
        <v>7354</v>
      </c>
      <c r="II8" s="17">
        <v>7354</v>
      </c>
      <c r="IJ8" s="17">
        <v>7354</v>
      </c>
      <c r="IK8" s="17">
        <v>7354</v>
      </c>
      <c r="IL8" s="17">
        <v>7767</v>
      </c>
      <c r="IM8" s="17">
        <v>7767</v>
      </c>
      <c r="IN8" s="17">
        <v>7767</v>
      </c>
      <c r="IO8" s="17">
        <v>7767</v>
      </c>
      <c r="IP8" s="17">
        <v>7767</v>
      </c>
      <c r="IQ8" s="17">
        <v>7767</v>
      </c>
      <c r="IR8" s="17">
        <v>7767</v>
      </c>
      <c r="IS8" s="17">
        <v>7919</v>
      </c>
      <c r="IT8" s="17">
        <v>7919</v>
      </c>
      <c r="IU8" s="17">
        <v>7919</v>
      </c>
      <c r="IV8" s="17">
        <v>7919</v>
      </c>
      <c r="IW8" s="17">
        <v>7919</v>
      </c>
      <c r="IX8" s="17">
        <v>7919</v>
      </c>
      <c r="IY8" s="17">
        <v>7919</v>
      </c>
      <c r="IZ8" s="17">
        <v>7982</v>
      </c>
      <c r="JA8" s="17">
        <v>7982</v>
      </c>
      <c r="JB8" s="17">
        <v>7982</v>
      </c>
      <c r="JC8" s="17">
        <v>7982</v>
      </c>
      <c r="JD8" s="17">
        <v>7982</v>
      </c>
      <c r="JE8" s="17">
        <v>7982</v>
      </c>
      <c r="JF8" s="17">
        <v>7982</v>
      </c>
      <c r="JG8" s="17">
        <v>8204</v>
      </c>
      <c r="JH8" s="17">
        <v>8204</v>
      </c>
      <c r="JI8" s="17">
        <v>8204</v>
      </c>
      <c r="JJ8" s="17">
        <v>8204</v>
      </c>
      <c r="JK8" s="17">
        <v>8204</v>
      </c>
      <c r="JL8" s="17">
        <v>8204</v>
      </c>
      <c r="JM8" s="17">
        <v>8204</v>
      </c>
      <c r="JN8" s="17">
        <v>8313</v>
      </c>
      <c r="JO8" s="17">
        <v>8313</v>
      </c>
      <c r="JP8" s="17">
        <v>8313</v>
      </c>
      <c r="JQ8" s="17">
        <v>8313</v>
      </c>
      <c r="JR8" s="17">
        <v>8313</v>
      </c>
      <c r="JS8" s="17">
        <v>8313</v>
      </c>
      <c r="JT8" s="17">
        <v>8313</v>
      </c>
      <c r="JU8" s="17">
        <v>8429</v>
      </c>
      <c r="JV8" s="17">
        <v>8429</v>
      </c>
      <c r="JW8" s="17">
        <v>8429</v>
      </c>
      <c r="JX8" s="17">
        <v>8429</v>
      </c>
      <c r="JY8" s="17">
        <v>8429</v>
      </c>
      <c r="JZ8" s="17">
        <v>8429</v>
      </c>
      <c r="KA8" s="17">
        <v>8429</v>
      </c>
      <c r="KB8" s="17">
        <v>8456</v>
      </c>
      <c r="KC8" s="17">
        <v>8456</v>
      </c>
      <c r="KD8" s="17">
        <v>8456</v>
      </c>
      <c r="KE8" s="17">
        <v>8456</v>
      </c>
      <c r="KF8" s="17">
        <v>8456</v>
      </c>
      <c r="KG8" s="17">
        <v>8456</v>
      </c>
      <c r="KH8" s="17">
        <v>8456</v>
      </c>
      <c r="KI8" s="17">
        <v>8456</v>
      </c>
      <c r="KJ8" s="17">
        <v>8456</v>
      </c>
      <c r="KK8" s="17">
        <v>8456</v>
      </c>
      <c r="KL8" s="17">
        <v>8456</v>
      </c>
      <c r="KM8" s="17">
        <v>8456</v>
      </c>
      <c r="KN8" s="17">
        <v>8456</v>
      </c>
      <c r="KO8" s="17">
        <v>8456</v>
      </c>
      <c r="KP8" s="17">
        <v>8456</v>
      </c>
      <c r="KQ8" s="17">
        <v>8456</v>
      </c>
      <c r="KR8" s="17">
        <v>8456</v>
      </c>
      <c r="KS8" s="17">
        <v>8456</v>
      </c>
      <c r="KT8" s="17">
        <v>8456</v>
      </c>
      <c r="KU8" s="17">
        <v>8456</v>
      </c>
      <c r="KV8" s="17">
        <v>8456</v>
      </c>
      <c r="KW8" s="17">
        <v>8456</v>
      </c>
      <c r="KX8" s="17">
        <v>8456</v>
      </c>
      <c r="KY8" s="17">
        <v>8456</v>
      </c>
      <c r="KZ8" s="17">
        <v>8456</v>
      </c>
      <c r="LA8" s="17">
        <v>8456</v>
      </c>
      <c r="LB8" s="17">
        <v>8456</v>
      </c>
      <c r="LC8" s="17">
        <v>8456</v>
      </c>
      <c r="LD8" s="17">
        <v>8456</v>
      </c>
      <c r="LE8" s="17">
        <v>8456</v>
      </c>
      <c r="LF8" s="17">
        <v>8456</v>
      </c>
      <c r="LG8" s="17">
        <v>8456</v>
      </c>
      <c r="LH8" s="17">
        <v>8456</v>
      </c>
      <c r="LI8" s="17">
        <v>8456</v>
      </c>
      <c r="LJ8" s="17">
        <v>8456</v>
      </c>
      <c r="LK8" s="17">
        <v>8475</v>
      </c>
      <c r="LL8" s="17">
        <v>8475</v>
      </c>
      <c r="LM8" s="17">
        <v>8475</v>
      </c>
      <c r="LN8" s="17">
        <v>8475</v>
      </c>
      <c r="LO8" s="17">
        <v>8475</v>
      </c>
      <c r="LP8" s="17">
        <v>8475</v>
      </c>
      <c r="LQ8" s="17">
        <v>8475</v>
      </c>
      <c r="LR8" s="17">
        <v>8557</v>
      </c>
      <c r="LS8" s="17">
        <v>8557</v>
      </c>
      <c r="LT8" s="17">
        <v>8557</v>
      </c>
      <c r="LU8" s="17">
        <v>8557</v>
      </c>
      <c r="LV8" s="17">
        <v>8557</v>
      </c>
      <c r="LW8" s="17">
        <v>8557</v>
      </c>
      <c r="LX8" s="17">
        <v>8557</v>
      </c>
      <c r="LY8" s="17">
        <v>8919</v>
      </c>
      <c r="LZ8" s="17">
        <v>8919</v>
      </c>
      <c r="MA8" s="17">
        <v>8919</v>
      </c>
      <c r="MB8" s="17">
        <v>8919</v>
      </c>
      <c r="MC8" s="17">
        <v>8919</v>
      </c>
      <c r="MD8" s="17">
        <v>8919</v>
      </c>
      <c r="ME8" s="17">
        <v>8919</v>
      </c>
      <c r="MF8" s="17">
        <v>9019</v>
      </c>
      <c r="MG8" s="17">
        <v>9019</v>
      </c>
      <c r="MH8" s="17">
        <v>9019</v>
      </c>
      <c r="MI8" s="17">
        <v>9019</v>
      </c>
      <c r="MJ8" s="17">
        <v>9019</v>
      </c>
      <c r="MK8" s="17">
        <v>9019</v>
      </c>
      <c r="ML8" s="17">
        <v>9019</v>
      </c>
      <c r="MM8" s="17">
        <v>9187</v>
      </c>
      <c r="MN8" s="17">
        <v>9187</v>
      </c>
      <c r="MO8" s="17">
        <v>9187</v>
      </c>
      <c r="MP8" s="17">
        <v>9187</v>
      </c>
      <c r="MQ8" s="17">
        <v>9187</v>
      </c>
      <c r="MR8" s="17">
        <v>9187</v>
      </c>
      <c r="MS8" s="17">
        <v>9187</v>
      </c>
      <c r="MT8" s="17">
        <v>9371</v>
      </c>
      <c r="MU8" s="17">
        <v>9371</v>
      </c>
      <c r="MV8" s="17">
        <v>9371</v>
      </c>
      <c r="MW8" s="17">
        <v>9371</v>
      </c>
      <c r="MX8" s="17">
        <v>9371</v>
      </c>
      <c r="MY8" s="17">
        <v>9371</v>
      </c>
      <c r="MZ8" s="17">
        <v>9371</v>
      </c>
      <c r="NA8" s="17">
        <v>9511</v>
      </c>
      <c r="NB8" s="17">
        <v>9511</v>
      </c>
      <c r="NC8" s="17">
        <v>9511</v>
      </c>
      <c r="ND8" s="17">
        <v>9511</v>
      </c>
      <c r="NE8" s="17">
        <v>9511</v>
      </c>
      <c r="NF8" s="17">
        <v>9511</v>
      </c>
      <c r="NG8" s="17">
        <v>9511</v>
      </c>
      <c r="NH8" s="17">
        <v>9644</v>
      </c>
      <c r="NI8" s="17">
        <v>9644</v>
      </c>
      <c r="NJ8" s="17">
        <v>9644</v>
      </c>
      <c r="NK8" s="17">
        <v>9644</v>
      </c>
      <c r="NL8" s="17">
        <v>9644</v>
      </c>
      <c r="NM8" s="17">
        <v>9644</v>
      </c>
      <c r="NN8" s="17">
        <v>9644</v>
      </c>
      <c r="NO8" s="17">
        <v>9835</v>
      </c>
      <c r="NP8" s="17">
        <v>9835</v>
      </c>
      <c r="NQ8" s="17">
        <v>9835</v>
      </c>
      <c r="NR8" s="17">
        <v>9835</v>
      </c>
      <c r="NS8" s="17">
        <v>9835</v>
      </c>
      <c r="NT8" s="17">
        <v>9835</v>
      </c>
      <c r="NU8" s="17">
        <v>9835</v>
      </c>
      <c r="NV8" s="17">
        <v>10069</v>
      </c>
      <c r="NW8" s="17">
        <v>10069</v>
      </c>
      <c r="NX8" s="17">
        <v>10069</v>
      </c>
      <c r="NY8" s="17">
        <v>10069</v>
      </c>
      <c r="NZ8" s="17">
        <v>10069</v>
      </c>
      <c r="OA8" s="17">
        <v>10069</v>
      </c>
      <c r="OB8" s="17">
        <v>10069</v>
      </c>
      <c r="OC8" s="17">
        <v>10287</v>
      </c>
      <c r="OD8" s="17">
        <v>10287</v>
      </c>
      <c r="OE8" s="17">
        <v>10287</v>
      </c>
      <c r="OF8" s="17">
        <v>10287</v>
      </c>
      <c r="OG8" s="17">
        <v>10287</v>
      </c>
      <c r="OH8" s="17">
        <v>10287</v>
      </c>
      <c r="OI8" s="17">
        <v>10287</v>
      </c>
      <c r="OJ8" s="17">
        <v>10360</v>
      </c>
      <c r="OK8" s="17">
        <v>10360</v>
      </c>
      <c r="OL8" s="17">
        <v>10360</v>
      </c>
      <c r="OM8" s="17">
        <v>10360</v>
      </c>
      <c r="ON8" s="17">
        <v>10360</v>
      </c>
      <c r="OO8" s="17">
        <v>10360</v>
      </c>
      <c r="OP8" s="17">
        <v>10360</v>
      </c>
      <c r="OQ8" s="17">
        <v>10433</v>
      </c>
      <c r="OR8" s="17">
        <v>10433</v>
      </c>
      <c r="OS8" s="17">
        <v>10433</v>
      </c>
      <c r="OT8" s="17">
        <v>10433</v>
      </c>
      <c r="OU8" s="17">
        <v>10433</v>
      </c>
      <c r="OV8" s="17">
        <v>10433</v>
      </c>
      <c r="OW8" s="17">
        <v>10433</v>
      </c>
      <c r="OX8" s="17">
        <v>10506</v>
      </c>
      <c r="OY8" s="17">
        <v>10506</v>
      </c>
      <c r="OZ8" s="17">
        <v>10506</v>
      </c>
      <c r="PA8" s="17">
        <v>10506</v>
      </c>
      <c r="PB8" s="17">
        <v>10506</v>
      </c>
      <c r="PC8" s="17">
        <v>10506</v>
      </c>
      <c r="PD8" s="17">
        <v>10506</v>
      </c>
      <c r="PE8" s="17">
        <v>10579</v>
      </c>
      <c r="PF8" s="17">
        <v>10579</v>
      </c>
      <c r="PG8" s="17">
        <v>10579</v>
      </c>
      <c r="PH8" s="17">
        <v>10579</v>
      </c>
      <c r="PI8" s="17">
        <v>10579</v>
      </c>
      <c r="PJ8" s="17">
        <v>10579</v>
      </c>
      <c r="PK8" s="17">
        <v>10579</v>
      </c>
      <c r="PL8" s="17">
        <v>10579</v>
      </c>
    </row>
    <row r="9" spans="1:428" s="12" customFormat="1" outlineLevel="1">
      <c r="A9" s="20" t="s">
        <v>19</v>
      </c>
      <c r="B9" s="12" t="s">
        <v>20</v>
      </c>
      <c r="C9" s="12" t="str">
        <f t="shared" si="21"/>
        <v>LensRectangle LBLACK</v>
      </c>
      <c r="D9" s="12" t="s">
        <v>36</v>
      </c>
      <c r="E9" s="16" t="s">
        <v>14</v>
      </c>
      <c r="F9" s="13" t="s">
        <v>5</v>
      </c>
      <c r="G9" s="13" t="s">
        <v>1</v>
      </c>
      <c r="H9" s="14">
        <v>318003500484</v>
      </c>
      <c r="I9" s="13"/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1100</v>
      </c>
      <c r="BX9" s="17">
        <v>2245</v>
      </c>
      <c r="BY9" s="17">
        <v>2245</v>
      </c>
      <c r="BZ9" s="17">
        <v>5952</v>
      </c>
      <c r="CA9" s="17">
        <v>5952</v>
      </c>
      <c r="CB9" s="17">
        <v>5952</v>
      </c>
      <c r="CC9" s="17">
        <v>5952</v>
      </c>
      <c r="CD9" s="17">
        <v>6522</v>
      </c>
      <c r="CE9" s="17">
        <v>6960</v>
      </c>
      <c r="CF9" s="17">
        <v>7640</v>
      </c>
      <c r="CG9" s="17">
        <v>7640</v>
      </c>
      <c r="CH9" s="17">
        <v>7640</v>
      </c>
      <c r="CI9" s="17">
        <v>300</v>
      </c>
      <c r="CJ9" s="17">
        <v>1200</v>
      </c>
      <c r="CK9" s="17">
        <v>1200</v>
      </c>
      <c r="CL9" s="17">
        <v>1200</v>
      </c>
      <c r="CM9" s="17">
        <v>1200</v>
      </c>
      <c r="CN9" s="17">
        <v>1200</v>
      </c>
      <c r="CO9" s="17">
        <v>5490</v>
      </c>
      <c r="CP9" s="17">
        <v>5490</v>
      </c>
      <c r="CQ9" s="17">
        <v>7020</v>
      </c>
      <c r="CR9" s="17">
        <v>9360</v>
      </c>
      <c r="CS9" s="17">
        <v>9360</v>
      </c>
      <c r="CT9" s="17">
        <v>9360</v>
      </c>
      <c r="CU9" s="17">
        <v>14850</v>
      </c>
      <c r="CV9" s="17">
        <v>14850</v>
      </c>
      <c r="CW9" s="17">
        <v>21120</v>
      </c>
      <c r="CX9" s="17">
        <v>21930</v>
      </c>
      <c r="CY9" s="17">
        <v>26340</v>
      </c>
      <c r="CZ9" s="17">
        <v>30570</v>
      </c>
      <c r="DA9" s="17">
        <v>35180</v>
      </c>
      <c r="DB9" s="17">
        <v>35180</v>
      </c>
      <c r="DC9" s="17">
        <v>39140</v>
      </c>
      <c r="DD9" s="17">
        <v>48295</v>
      </c>
      <c r="DE9" s="17">
        <v>49121</v>
      </c>
      <c r="DF9" s="17">
        <v>49661</v>
      </c>
      <c r="DG9" s="17">
        <v>50471</v>
      </c>
      <c r="DH9" s="17">
        <v>51191</v>
      </c>
      <c r="DI9" s="17">
        <v>53981</v>
      </c>
      <c r="DJ9" s="17">
        <v>53981</v>
      </c>
      <c r="DK9" s="17">
        <v>59381</v>
      </c>
      <c r="DL9" s="17">
        <v>60011</v>
      </c>
      <c r="DM9" s="17">
        <v>60641</v>
      </c>
      <c r="DN9" s="17">
        <v>60641</v>
      </c>
      <c r="DO9" s="17">
        <v>63701</v>
      </c>
      <c r="DP9" s="17">
        <v>68021</v>
      </c>
      <c r="DQ9" s="17">
        <v>72611</v>
      </c>
      <c r="DR9" s="17">
        <v>81971</v>
      </c>
      <c r="DS9" s="17">
        <v>85658</v>
      </c>
      <c r="DT9" s="17">
        <v>90338</v>
      </c>
      <c r="DU9" s="17">
        <v>94478</v>
      </c>
      <c r="DV9" s="17">
        <v>99126</v>
      </c>
      <c r="DW9" s="17">
        <v>102987</v>
      </c>
      <c r="DX9" s="17">
        <v>102987</v>
      </c>
      <c r="DY9" s="17">
        <v>107582</v>
      </c>
      <c r="DZ9" s="17">
        <v>112262</v>
      </c>
      <c r="EA9" s="17">
        <v>116942</v>
      </c>
      <c r="EB9" s="17">
        <v>118732</v>
      </c>
      <c r="EC9" s="17">
        <v>118732</v>
      </c>
      <c r="ED9" s="17">
        <v>123232</v>
      </c>
      <c r="EE9" s="17">
        <v>123232</v>
      </c>
      <c r="EF9" s="17">
        <v>127732</v>
      </c>
      <c r="EG9" s="17">
        <v>129483</v>
      </c>
      <c r="EH9" s="17">
        <v>129483</v>
      </c>
      <c r="EI9" s="17">
        <v>129483</v>
      </c>
      <c r="EJ9" s="17">
        <v>129483</v>
      </c>
      <c r="EK9" s="17">
        <v>131347</v>
      </c>
      <c r="EL9" s="17">
        <v>131347</v>
      </c>
      <c r="EM9" s="17">
        <v>131347</v>
      </c>
      <c r="EN9" s="17">
        <v>131347</v>
      </c>
      <c r="EO9" s="17">
        <v>131347</v>
      </c>
      <c r="EP9" s="17">
        <v>131347</v>
      </c>
      <c r="EQ9" s="17">
        <v>131347</v>
      </c>
      <c r="ER9" s="17">
        <v>135902</v>
      </c>
      <c r="ES9" s="17">
        <v>0</v>
      </c>
      <c r="ET9" s="17">
        <v>0</v>
      </c>
      <c r="EU9" s="17">
        <v>0</v>
      </c>
      <c r="EV9" s="17">
        <v>0</v>
      </c>
      <c r="EW9" s="17">
        <v>0</v>
      </c>
      <c r="EX9" s="17">
        <v>0</v>
      </c>
      <c r="EY9" s="17">
        <v>119976</v>
      </c>
      <c r="EZ9" s="17">
        <v>119976</v>
      </c>
      <c r="FA9" s="17">
        <v>119976</v>
      </c>
      <c r="FB9" s="17">
        <v>119976</v>
      </c>
      <c r="FC9" s="17">
        <v>119976</v>
      </c>
      <c r="FD9" s="17">
        <v>119976</v>
      </c>
      <c r="FE9" s="17">
        <v>119976</v>
      </c>
      <c r="FF9" s="17">
        <v>138400</v>
      </c>
      <c r="FG9" s="17">
        <v>138400</v>
      </c>
      <c r="FH9" s="17">
        <v>138400</v>
      </c>
      <c r="FI9" s="17">
        <v>138400</v>
      </c>
      <c r="FJ9" s="17">
        <v>138400</v>
      </c>
      <c r="FK9" s="17">
        <v>138400</v>
      </c>
      <c r="FL9" s="17">
        <v>138400</v>
      </c>
      <c r="FM9" s="17">
        <v>139537</v>
      </c>
      <c r="FN9" s="17">
        <v>139537</v>
      </c>
      <c r="FO9" s="17">
        <v>139537</v>
      </c>
      <c r="FP9" s="17">
        <v>139537</v>
      </c>
      <c r="FQ9" s="17">
        <v>139537</v>
      </c>
      <c r="FR9" s="17">
        <v>139537</v>
      </c>
      <c r="FS9" s="17">
        <v>139537</v>
      </c>
      <c r="FT9" s="17">
        <v>140680</v>
      </c>
      <c r="FU9" s="17">
        <v>140680</v>
      </c>
      <c r="FV9" s="17">
        <v>140680</v>
      </c>
      <c r="FW9" s="17">
        <v>140680</v>
      </c>
      <c r="FX9" s="17">
        <v>140680</v>
      </c>
      <c r="FY9" s="17">
        <v>140680</v>
      </c>
      <c r="FZ9" s="17">
        <v>140680</v>
      </c>
      <c r="GA9" s="17">
        <v>141825</v>
      </c>
      <c r="GB9" s="17">
        <v>141825</v>
      </c>
      <c r="GC9" s="17">
        <v>141825</v>
      </c>
      <c r="GD9" s="17">
        <v>141825</v>
      </c>
      <c r="GE9" s="17">
        <v>141825</v>
      </c>
      <c r="GF9" s="17">
        <v>141825</v>
      </c>
      <c r="GG9" s="17">
        <v>141825</v>
      </c>
      <c r="GH9" s="17">
        <v>142944</v>
      </c>
      <c r="GI9" s="17">
        <v>142944</v>
      </c>
      <c r="GJ9" s="17">
        <v>142944</v>
      </c>
      <c r="GK9" s="17">
        <v>142944</v>
      </c>
      <c r="GL9" s="17">
        <v>142944</v>
      </c>
      <c r="GM9" s="17">
        <v>142944</v>
      </c>
      <c r="GN9" s="17">
        <v>142944</v>
      </c>
      <c r="GO9" s="17">
        <v>146027</v>
      </c>
      <c r="GP9" s="17">
        <v>146027</v>
      </c>
      <c r="GQ9" s="17">
        <v>146027</v>
      </c>
      <c r="GR9" s="17">
        <v>146027</v>
      </c>
      <c r="GS9" s="17">
        <v>146027</v>
      </c>
      <c r="GT9" s="17">
        <v>146027</v>
      </c>
      <c r="GU9" s="17">
        <v>146027</v>
      </c>
      <c r="GV9" s="17">
        <v>148919</v>
      </c>
      <c r="GW9" s="17">
        <v>148919</v>
      </c>
      <c r="GX9" s="17">
        <v>148919</v>
      </c>
      <c r="GY9" s="17">
        <v>148919</v>
      </c>
      <c r="GZ9" s="17">
        <v>148919</v>
      </c>
      <c r="HA9" s="17">
        <v>148919</v>
      </c>
      <c r="HB9" s="17">
        <v>148919</v>
      </c>
      <c r="HC9" s="17">
        <v>151865</v>
      </c>
      <c r="HD9" s="17">
        <v>151865</v>
      </c>
      <c r="HE9" s="17">
        <v>151865</v>
      </c>
      <c r="HF9" s="17">
        <v>151865</v>
      </c>
      <c r="HG9" s="17">
        <v>151865</v>
      </c>
      <c r="HH9" s="17">
        <v>151865</v>
      </c>
      <c r="HI9" s="17">
        <v>151865</v>
      </c>
      <c r="HJ9" s="17">
        <v>155847</v>
      </c>
      <c r="HK9" s="17">
        <v>155847</v>
      </c>
      <c r="HL9" s="17">
        <v>155847</v>
      </c>
      <c r="HM9" s="17">
        <v>155847</v>
      </c>
      <c r="HN9" s="17">
        <v>155847</v>
      </c>
      <c r="HO9" s="17">
        <v>155847</v>
      </c>
      <c r="HP9" s="17">
        <v>155847</v>
      </c>
      <c r="HQ9" s="17">
        <v>156664</v>
      </c>
      <c r="HR9" s="17">
        <v>156664</v>
      </c>
      <c r="HS9" s="17">
        <v>156664</v>
      </c>
      <c r="HT9" s="17">
        <v>156664</v>
      </c>
      <c r="HU9" s="17">
        <v>156664</v>
      </c>
      <c r="HV9" s="17">
        <v>156664</v>
      </c>
      <c r="HW9" s="17">
        <v>156664</v>
      </c>
      <c r="HX9" s="17">
        <v>156664</v>
      </c>
      <c r="HY9" s="17">
        <v>156664</v>
      </c>
      <c r="HZ9" s="17">
        <v>156664</v>
      </c>
      <c r="IA9" s="17">
        <v>156664</v>
      </c>
      <c r="IB9" s="17">
        <v>156664</v>
      </c>
      <c r="IC9" s="17">
        <v>156664</v>
      </c>
      <c r="ID9" s="17">
        <v>156664</v>
      </c>
      <c r="IE9" s="17">
        <v>156664</v>
      </c>
      <c r="IF9" s="17">
        <v>156664</v>
      </c>
      <c r="IG9" s="17">
        <v>156664</v>
      </c>
      <c r="IH9" s="17">
        <v>156664</v>
      </c>
      <c r="II9" s="17">
        <v>156664</v>
      </c>
      <c r="IJ9" s="17">
        <v>156664</v>
      </c>
      <c r="IK9" s="17">
        <v>156664</v>
      </c>
      <c r="IL9" s="17">
        <v>156664</v>
      </c>
      <c r="IM9" s="17">
        <v>156664</v>
      </c>
      <c r="IN9" s="17">
        <v>156664</v>
      </c>
      <c r="IO9" s="17">
        <v>156664</v>
      </c>
      <c r="IP9" s="17">
        <v>156664</v>
      </c>
      <c r="IQ9" s="17">
        <v>156664</v>
      </c>
      <c r="IR9" s="17">
        <v>156664</v>
      </c>
      <c r="IS9" s="17">
        <v>156664</v>
      </c>
      <c r="IT9" s="17">
        <v>156664</v>
      </c>
      <c r="IU9" s="17">
        <v>158194</v>
      </c>
      <c r="IV9" s="17">
        <v>158194</v>
      </c>
      <c r="IW9" s="17">
        <v>158194</v>
      </c>
      <c r="IX9" s="17">
        <v>158194</v>
      </c>
      <c r="IY9" s="17">
        <v>158194</v>
      </c>
      <c r="IZ9" s="17">
        <v>158194</v>
      </c>
      <c r="JA9" s="17">
        <v>158194</v>
      </c>
      <c r="JB9" s="17">
        <v>160894</v>
      </c>
      <c r="JC9" s="17">
        <v>160894</v>
      </c>
      <c r="JD9" s="17">
        <v>160894</v>
      </c>
      <c r="JE9" s="17">
        <v>160894</v>
      </c>
      <c r="JF9" s="17">
        <v>160894</v>
      </c>
      <c r="JG9" s="17">
        <v>160894</v>
      </c>
      <c r="JH9" s="17">
        <v>160894</v>
      </c>
      <c r="JI9" s="17">
        <v>163414</v>
      </c>
      <c r="JJ9" s="17">
        <v>163414</v>
      </c>
      <c r="JK9" s="17">
        <v>163414</v>
      </c>
      <c r="JL9" s="17">
        <v>163414</v>
      </c>
      <c r="JM9" s="17">
        <v>163414</v>
      </c>
      <c r="JN9" s="17">
        <v>163414</v>
      </c>
      <c r="JO9" s="17">
        <v>163414</v>
      </c>
      <c r="JP9" s="17">
        <v>166024</v>
      </c>
      <c r="JQ9" s="17">
        <v>166024</v>
      </c>
      <c r="JR9" s="17">
        <v>166024</v>
      </c>
      <c r="JS9" s="17">
        <v>166024</v>
      </c>
      <c r="JT9" s="17">
        <v>166024</v>
      </c>
      <c r="JU9" s="17">
        <v>166024</v>
      </c>
      <c r="JV9" s="17">
        <v>166024</v>
      </c>
      <c r="JW9" s="17">
        <v>168454</v>
      </c>
      <c r="JX9" s="17">
        <v>168454</v>
      </c>
      <c r="JY9" s="17">
        <v>168454</v>
      </c>
      <c r="JZ9" s="17">
        <v>168454</v>
      </c>
      <c r="KA9" s="17">
        <v>168454</v>
      </c>
      <c r="KB9" s="17">
        <v>168454</v>
      </c>
      <c r="KC9" s="17">
        <v>168454</v>
      </c>
      <c r="KD9" s="17">
        <v>170974</v>
      </c>
      <c r="KE9" s="17">
        <v>170974</v>
      </c>
      <c r="KF9" s="17">
        <v>170974</v>
      </c>
      <c r="KG9" s="17">
        <v>170974</v>
      </c>
      <c r="KH9" s="17">
        <v>170974</v>
      </c>
      <c r="KI9" s="17">
        <v>170974</v>
      </c>
      <c r="KJ9" s="17">
        <v>170974</v>
      </c>
      <c r="KK9" s="17">
        <v>173404</v>
      </c>
      <c r="KL9" s="17">
        <v>173404</v>
      </c>
      <c r="KM9" s="17">
        <v>173404</v>
      </c>
      <c r="KN9" s="17">
        <v>173404</v>
      </c>
      <c r="KO9" s="17">
        <v>173404</v>
      </c>
      <c r="KP9" s="17">
        <v>173404</v>
      </c>
      <c r="KQ9" s="17">
        <v>173404</v>
      </c>
      <c r="KR9" s="17">
        <v>176554</v>
      </c>
      <c r="KS9" s="17">
        <v>176554</v>
      </c>
      <c r="KT9" s="17">
        <v>176554</v>
      </c>
      <c r="KU9" s="17">
        <v>176554</v>
      </c>
      <c r="KV9" s="17">
        <v>176554</v>
      </c>
      <c r="KW9" s="17">
        <v>176554</v>
      </c>
      <c r="KX9" s="17">
        <v>176554</v>
      </c>
      <c r="KY9" s="17">
        <v>180064</v>
      </c>
      <c r="KZ9" s="17">
        <v>180064</v>
      </c>
      <c r="LA9" s="17">
        <v>180064</v>
      </c>
      <c r="LB9" s="17">
        <v>180064</v>
      </c>
      <c r="LC9" s="17">
        <v>180064</v>
      </c>
      <c r="LD9" s="17">
        <v>180064</v>
      </c>
      <c r="LE9" s="17">
        <v>180064</v>
      </c>
      <c r="LF9" s="17">
        <v>180064</v>
      </c>
      <c r="LG9" s="17">
        <v>180064</v>
      </c>
      <c r="LH9" s="17">
        <v>180064</v>
      </c>
      <c r="LI9" s="17">
        <v>180064</v>
      </c>
      <c r="LJ9" s="17">
        <v>180064</v>
      </c>
      <c r="LK9" s="17">
        <v>180064</v>
      </c>
      <c r="LL9" s="17">
        <v>180064</v>
      </c>
      <c r="LM9" s="17">
        <v>180064</v>
      </c>
      <c r="LN9" s="17">
        <v>180064</v>
      </c>
      <c r="LO9" s="17">
        <v>180064</v>
      </c>
      <c r="LP9" s="17">
        <v>180064</v>
      </c>
      <c r="LQ9" s="17">
        <v>180064</v>
      </c>
      <c r="LR9" s="17">
        <v>180064</v>
      </c>
      <c r="LS9" s="17">
        <v>180064</v>
      </c>
      <c r="LT9" s="17">
        <v>180064</v>
      </c>
      <c r="LU9" s="17">
        <v>180064</v>
      </c>
      <c r="LV9" s="17">
        <v>180064</v>
      </c>
      <c r="LW9" s="17">
        <v>180064</v>
      </c>
      <c r="LX9" s="17">
        <v>180064</v>
      </c>
      <c r="LY9" s="17">
        <v>180064</v>
      </c>
      <c r="LZ9" s="17">
        <v>180064</v>
      </c>
      <c r="MA9" s="17">
        <v>180064</v>
      </c>
      <c r="MB9" s="17">
        <v>180064</v>
      </c>
      <c r="MC9" s="17">
        <v>180064</v>
      </c>
      <c r="MD9" s="17">
        <v>204449</v>
      </c>
      <c r="ME9" s="17">
        <v>204449</v>
      </c>
      <c r="MF9" s="17">
        <v>204449</v>
      </c>
      <c r="MG9" s="17">
        <v>204449</v>
      </c>
      <c r="MH9" s="17">
        <v>204449</v>
      </c>
      <c r="MI9" s="17">
        <v>204449</v>
      </c>
      <c r="MJ9" s="17">
        <v>204449</v>
      </c>
      <c r="MK9" s="17">
        <v>204449</v>
      </c>
      <c r="ML9" s="17">
        <v>204449</v>
      </c>
      <c r="MM9" s="17">
        <v>204449</v>
      </c>
      <c r="MN9" s="17">
        <v>204449</v>
      </c>
      <c r="MO9" s="17">
        <v>204449</v>
      </c>
      <c r="MP9" s="17">
        <v>204449</v>
      </c>
      <c r="MQ9" s="17">
        <v>204449</v>
      </c>
      <c r="MR9" s="17">
        <v>204449</v>
      </c>
      <c r="MS9" s="17">
        <v>204449</v>
      </c>
      <c r="MT9" s="17">
        <v>204449</v>
      </c>
      <c r="MU9" s="17">
        <v>204449</v>
      </c>
      <c r="MV9" s="17">
        <v>204449</v>
      </c>
      <c r="MW9" s="17">
        <v>204449</v>
      </c>
      <c r="MX9" s="17">
        <v>204449</v>
      </c>
      <c r="MY9" s="17">
        <v>204449</v>
      </c>
      <c r="MZ9" s="17">
        <v>204449</v>
      </c>
      <c r="NA9" s="17">
        <v>206534</v>
      </c>
      <c r="NB9" s="17">
        <v>206534</v>
      </c>
      <c r="NC9" s="17">
        <v>206534</v>
      </c>
      <c r="ND9" s="17">
        <v>206534</v>
      </c>
      <c r="NE9" s="17">
        <v>206534</v>
      </c>
      <c r="NF9" s="17">
        <v>206534</v>
      </c>
      <c r="NG9" s="17">
        <v>206534</v>
      </c>
      <c r="NH9" s="17">
        <v>208619</v>
      </c>
      <c r="NI9" s="17">
        <v>208619</v>
      </c>
      <c r="NJ9" s="17">
        <v>208619</v>
      </c>
      <c r="NK9" s="17">
        <v>208619</v>
      </c>
      <c r="NL9" s="17">
        <v>208619</v>
      </c>
      <c r="NM9" s="17">
        <v>208619</v>
      </c>
      <c r="NN9" s="17">
        <v>208619</v>
      </c>
      <c r="NO9" s="17">
        <v>210704</v>
      </c>
      <c r="NP9" s="17">
        <v>210704</v>
      </c>
      <c r="NQ9" s="17">
        <v>210704</v>
      </c>
      <c r="NR9" s="17">
        <v>210704</v>
      </c>
      <c r="NS9" s="17">
        <v>210704</v>
      </c>
      <c r="NT9" s="17">
        <v>210704</v>
      </c>
      <c r="NU9" s="17">
        <v>210704</v>
      </c>
      <c r="NV9" s="17">
        <v>211747</v>
      </c>
      <c r="NW9" s="17">
        <v>211747</v>
      </c>
      <c r="NX9" s="17">
        <v>211747</v>
      </c>
      <c r="NY9" s="17">
        <v>211747</v>
      </c>
      <c r="NZ9" s="17">
        <v>211747</v>
      </c>
      <c r="OA9" s="17">
        <v>211747</v>
      </c>
      <c r="OB9" s="17">
        <v>211747</v>
      </c>
      <c r="OC9" s="17">
        <v>212790</v>
      </c>
      <c r="OD9" s="17">
        <v>212790</v>
      </c>
      <c r="OE9" s="17">
        <v>212790</v>
      </c>
      <c r="OF9" s="17">
        <v>212790</v>
      </c>
      <c r="OG9" s="17">
        <v>212790</v>
      </c>
      <c r="OH9" s="17">
        <v>212790</v>
      </c>
      <c r="OI9" s="17">
        <v>212790</v>
      </c>
      <c r="OJ9" s="17">
        <v>213833</v>
      </c>
      <c r="OK9" s="17">
        <v>213833</v>
      </c>
      <c r="OL9" s="17">
        <v>213833</v>
      </c>
      <c r="OM9" s="17">
        <v>213833</v>
      </c>
      <c r="ON9" s="17">
        <v>213833</v>
      </c>
      <c r="OO9" s="17">
        <v>213833</v>
      </c>
      <c r="OP9" s="17">
        <v>213833</v>
      </c>
      <c r="OQ9" s="17">
        <v>214876</v>
      </c>
      <c r="OR9" s="17">
        <v>214876</v>
      </c>
      <c r="OS9" s="17">
        <v>214876</v>
      </c>
      <c r="OT9" s="17">
        <v>214876</v>
      </c>
      <c r="OU9" s="17">
        <v>214876</v>
      </c>
      <c r="OV9" s="17">
        <v>214876</v>
      </c>
      <c r="OW9" s="17">
        <v>214876</v>
      </c>
      <c r="OX9" s="17">
        <v>215919</v>
      </c>
      <c r="OY9" s="17">
        <v>215919</v>
      </c>
      <c r="OZ9" s="17">
        <v>215919</v>
      </c>
      <c r="PA9" s="17">
        <v>215919</v>
      </c>
      <c r="PB9" s="17">
        <v>215919</v>
      </c>
      <c r="PC9" s="17">
        <v>215919</v>
      </c>
      <c r="PD9" s="17">
        <v>215919</v>
      </c>
      <c r="PE9" s="17">
        <v>216962</v>
      </c>
      <c r="PF9" s="17">
        <v>216962</v>
      </c>
      <c r="PG9" s="17">
        <v>216962</v>
      </c>
      <c r="PH9" s="17">
        <v>216962</v>
      </c>
      <c r="PI9" s="17">
        <v>216962</v>
      </c>
      <c r="PJ9" s="17">
        <v>216962</v>
      </c>
      <c r="PK9" s="17">
        <v>216962</v>
      </c>
      <c r="PL9" s="17">
        <v>216962</v>
      </c>
    </row>
    <row r="10" spans="1:428" s="12" customFormat="1" outlineLevel="1">
      <c r="A10" s="20" t="s">
        <v>19</v>
      </c>
      <c r="B10" s="12" t="s">
        <v>38</v>
      </c>
      <c r="C10" s="12" t="str">
        <f t="shared" si="21"/>
        <v>LensRectangle LCLASSIC HAVANA</v>
      </c>
      <c r="D10" s="12" t="s">
        <v>36</v>
      </c>
      <c r="E10" s="16" t="s">
        <v>14</v>
      </c>
      <c r="F10" s="13" t="s">
        <v>5</v>
      </c>
      <c r="G10" s="13" t="s">
        <v>2</v>
      </c>
      <c r="H10" s="14">
        <v>318003500482</v>
      </c>
      <c r="I10" s="13"/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280</v>
      </c>
      <c r="DP10" s="17">
        <v>280</v>
      </c>
      <c r="DQ10" s="17">
        <v>990</v>
      </c>
      <c r="DR10" s="17">
        <v>1355</v>
      </c>
      <c r="DS10" s="17">
        <v>5560</v>
      </c>
      <c r="DT10" s="17">
        <v>5560</v>
      </c>
      <c r="DU10" s="17">
        <v>3876</v>
      </c>
      <c r="DV10" s="17">
        <v>3876</v>
      </c>
      <c r="DW10" s="17">
        <v>4022</v>
      </c>
      <c r="DX10" s="17">
        <v>4022</v>
      </c>
      <c r="DY10" s="17">
        <v>4022</v>
      </c>
      <c r="DZ10" s="17">
        <v>4022</v>
      </c>
      <c r="EA10" s="17">
        <v>4022</v>
      </c>
      <c r="EB10" s="17">
        <v>4022</v>
      </c>
      <c r="EC10" s="17">
        <v>4022</v>
      </c>
      <c r="ED10" s="17">
        <v>8136</v>
      </c>
      <c r="EE10" s="17">
        <v>8136</v>
      </c>
      <c r="EF10" s="17">
        <v>8136</v>
      </c>
      <c r="EG10" s="17">
        <v>8136</v>
      </c>
      <c r="EH10" s="17">
        <v>10891</v>
      </c>
      <c r="EI10" s="17">
        <v>10891</v>
      </c>
      <c r="EJ10" s="17">
        <v>10891</v>
      </c>
      <c r="EK10" s="17">
        <v>10891</v>
      </c>
      <c r="EL10" s="17">
        <v>10891</v>
      </c>
      <c r="EM10" s="17">
        <v>10891</v>
      </c>
      <c r="EN10" s="17">
        <v>10893</v>
      </c>
      <c r="EO10" s="17">
        <v>10893</v>
      </c>
      <c r="EP10" s="17">
        <v>10893</v>
      </c>
      <c r="EQ10" s="17">
        <v>10893</v>
      </c>
      <c r="ER10" s="17">
        <v>10893</v>
      </c>
      <c r="ES10" s="17">
        <v>0</v>
      </c>
      <c r="ET10" s="17">
        <v>0</v>
      </c>
      <c r="EU10" s="17">
        <v>0</v>
      </c>
      <c r="EV10" s="17">
        <v>0</v>
      </c>
      <c r="EW10" s="17">
        <v>0</v>
      </c>
      <c r="EX10" s="17">
        <v>0</v>
      </c>
      <c r="EY10" s="17">
        <v>10816</v>
      </c>
      <c r="EZ10" s="17">
        <v>10816</v>
      </c>
      <c r="FA10" s="17">
        <v>10816</v>
      </c>
      <c r="FB10" s="17">
        <v>10816</v>
      </c>
      <c r="FC10" s="17">
        <v>10816</v>
      </c>
      <c r="FD10" s="17">
        <v>10816</v>
      </c>
      <c r="FE10" s="17">
        <v>10816</v>
      </c>
      <c r="FF10" s="17">
        <v>20641</v>
      </c>
      <c r="FG10" s="17">
        <v>20641</v>
      </c>
      <c r="FH10" s="17">
        <v>20641</v>
      </c>
      <c r="FI10" s="17">
        <v>20641</v>
      </c>
      <c r="FJ10" s="17">
        <v>20641</v>
      </c>
      <c r="FK10" s="17">
        <v>20641</v>
      </c>
      <c r="FL10" s="17">
        <v>20641</v>
      </c>
      <c r="FM10" s="17">
        <v>21104</v>
      </c>
      <c r="FN10" s="17">
        <v>21104</v>
      </c>
      <c r="FO10" s="17">
        <v>21104</v>
      </c>
      <c r="FP10" s="17">
        <v>21104</v>
      </c>
      <c r="FQ10" s="17">
        <v>21104</v>
      </c>
      <c r="FR10" s="17">
        <v>21104</v>
      </c>
      <c r="FS10" s="17">
        <v>21104</v>
      </c>
      <c r="FT10" s="17">
        <v>21451</v>
      </c>
      <c r="FU10" s="17">
        <v>21451</v>
      </c>
      <c r="FV10" s="17">
        <v>21451</v>
      </c>
      <c r="FW10" s="17">
        <v>21451</v>
      </c>
      <c r="FX10" s="17">
        <v>21451</v>
      </c>
      <c r="FY10" s="17">
        <v>21451</v>
      </c>
      <c r="FZ10" s="17">
        <v>21451</v>
      </c>
      <c r="GA10" s="17">
        <v>21750</v>
      </c>
      <c r="GB10" s="17">
        <v>21750</v>
      </c>
      <c r="GC10" s="17">
        <v>21750</v>
      </c>
      <c r="GD10" s="17">
        <v>21750</v>
      </c>
      <c r="GE10" s="17">
        <v>21750</v>
      </c>
      <c r="GF10" s="17">
        <v>21750</v>
      </c>
      <c r="GG10" s="17">
        <v>21750</v>
      </c>
      <c r="GH10" s="17">
        <v>22093</v>
      </c>
      <c r="GI10" s="17">
        <v>22093</v>
      </c>
      <c r="GJ10" s="17">
        <v>22093</v>
      </c>
      <c r="GK10" s="17">
        <v>22093</v>
      </c>
      <c r="GL10" s="17">
        <v>22093</v>
      </c>
      <c r="GM10" s="17">
        <v>22093</v>
      </c>
      <c r="GN10" s="17">
        <v>22093</v>
      </c>
      <c r="GO10" s="17">
        <v>23595</v>
      </c>
      <c r="GP10" s="17">
        <v>23595</v>
      </c>
      <c r="GQ10" s="17">
        <v>23595</v>
      </c>
      <c r="GR10" s="17">
        <v>23595</v>
      </c>
      <c r="GS10" s="17">
        <v>23595</v>
      </c>
      <c r="GT10" s="17">
        <v>23595</v>
      </c>
      <c r="GU10" s="17">
        <v>23595</v>
      </c>
      <c r="GV10" s="17">
        <v>25172</v>
      </c>
      <c r="GW10" s="17">
        <v>25172</v>
      </c>
      <c r="GX10" s="17">
        <v>25291</v>
      </c>
      <c r="GY10" s="17">
        <v>25291</v>
      </c>
      <c r="GZ10" s="17">
        <v>25291</v>
      </c>
      <c r="HA10" s="17">
        <v>25291</v>
      </c>
      <c r="HB10" s="17">
        <v>25291</v>
      </c>
      <c r="HC10" s="17">
        <v>26172</v>
      </c>
      <c r="HD10" s="17">
        <v>26172</v>
      </c>
      <c r="HE10" s="17">
        <v>26642</v>
      </c>
      <c r="HF10" s="17">
        <v>26642</v>
      </c>
      <c r="HG10" s="17">
        <v>26642</v>
      </c>
      <c r="HH10" s="17">
        <v>26642</v>
      </c>
      <c r="HI10" s="17">
        <v>26642</v>
      </c>
      <c r="HJ10" s="17">
        <v>27172</v>
      </c>
      <c r="HK10" s="17">
        <v>27172</v>
      </c>
      <c r="HL10" s="17">
        <v>28172</v>
      </c>
      <c r="HM10" s="17">
        <v>28172</v>
      </c>
      <c r="HN10" s="17">
        <v>28172</v>
      </c>
      <c r="HO10" s="17">
        <v>28172</v>
      </c>
      <c r="HP10" s="17">
        <v>28172</v>
      </c>
      <c r="HQ10" s="17">
        <v>28172</v>
      </c>
      <c r="HR10" s="17">
        <v>28172</v>
      </c>
      <c r="HS10" s="17">
        <v>29172</v>
      </c>
      <c r="HT10" s="17">
        <v>29172</v>
      </c>
      <c r="HU10" s="17">
        <v>29172</v>
      </c>
      <c r="HV10" s="17">
        <v>29172</v>
      </c>
      <c r="HW10" s="17">
        <v>29172</v>
      </c>
      <c r="HX10" s="17">
        <v>29172</v>
      </c>
      <c r="HY10" s="17">
        <v>29172</v>
      </c>
      <c r="HZ10" s="17">
        <v>30172</v>
      </c>
      <c r="IA10" s="17">
        <v>30172</v>
      </c>
      <c r="IB10" s="17">
        <v>30172</v>
      </c>
      <c r="IC10" s="17">
        <v>30172</v>
      </c>
      <c r="ID10" s="17">
        <v>30172</v>
      </c>
      <c r="IE10" s="17">
        <v>30172</v>
      </c>
      <c r="IF10" s="17">
        <v>30172</v>
      </c>
      <c r="IG10" s="17">
        <v>31172</v>
      </c>
      <c r="IH10" s="17">
        <v>31172</v>
      </c>
      <c r="II10" s="17">
        <v>31172</v>
      </c>
      <c r="IJ10" s="17">
        <v>31172</v>
      </c>
      <c r="IK10" s="17">
        <v>31172</v>
      </c>
      <c r="IL10" s="17">
        <v>31172</v>
      </c>
      <c r="IM10" s="17">
        <v>31172</v>
      </c>
      <c r="IN10" s="17">
        <v>32172</v>
      </c>
      <c r="IO10" s="17">
        <v>32172</v>
      </c>
      <c r="IP10" s="17">
        <v>32172</v>
      </c>
      <c r="IQ10" s="17">
        <v>32172</v>
      </c>
      <c r="IR10" s="17">
        <v>32172</v>
      </c>
      <c r="IS10" s="17">
        <v>32172</v>
      </c>
      <c r="IT10" s="17">
        <v>32172</v>
      </c>
      <c r="IU10" s="17">
        <v>33172</v>
      </c>
      <c r="IV10" s="17">
        <v>33172</v>
      </c>
      <c r="IW10" s="17">
        <v>33172</v>
      </c>
      <c r="IX10" s="17">
        <v>33172</v>
      </c>
      <c r="IY10" s="17">
        <v>33172</v>
      </c>
      <c r="IZ10" s="17">
        <v>33172</v>
      </c>
      <c r="JA10" s="17">
        <v>33172</v>
      </c>
      <c r="JB10" s="17">
        <v>34172</v>
      </c>
      <c r="JC10" s="17">
        <v>34172</v>
      </c>
      <c r="JD10" s="17">
        <v>34172</v>
      </c>
      <c r="JE10" s="17">
        <v>34172</v>
      </c>
      <c r="JF10" s="17">
        <v>34172</v>
      </c>
      <c r="JG10" s="17">
        <v>34172</v>
      </c>
      <c r="JH10" s="17">
        <v>34172</v>
      </c>
      <c r="JI10" s="17">
        <v>35172</v>
      </c>
      <c r="JJ10" s="17">
        <v>35172</v>
      </c>
      <c r="JK10" s="17">
        <v>35172</v>
      </c>
      <c r="JL10" s="17">
        <v>35172</v>
      </c>
      <c r="JM10" s="17">
        <v>35172</v>
      </c>
      <c r="JN10" s="17">
        <v>35172</v>
      </c>
      <c r="JO10" s="17">
        <v>35172</v>
      </c>
      <c r="JP10" s="17">
        <v>36172</v>
      </c>
      <c r="JQ10" s="17">
        <v>36172</v>
      </c>
      <c r="JR10" s="17">
        <v>36172</v>
      </c>
      <c r="JS10" s="17">
        <v>36172</v>
      </c>
      <c r="JT10" s="17">
        <v>36172</v>
      </c>
      <c r="JU10" s="17">
        <v>36172</v>
      </c>
      <c r="JV10" s="17">
        <v>36172</v>
      </c>
      <c r="JW10" s="17">
        <v>37172</v>
      </c>
      <c r="JX10" s="17">
        <v>37172</v>
      </c>
      <c r="JY10" s="17">
        <v>37172</v>
      </c>
      <c r="JZ10" s="17">
        <v>37172</v>
      </c>
      <c r="KA10" s="17">
        <v>37172</v>
      </c>
      <c r="KB10" s="17">
        <v>37172</v>
      </c>
      <c r="KC10" s="17">
        <v>37172</v>
      </c>
      <c r="KD10" s="17">
        <v>38172</v>
      </c>
      <c r="KE10" s="17">
        <v>38172</v>
      </c>
      <c r="KF10" s="17">
        <v>38172</v>
      </c>
      <c r="KG10" s="17">
        <v>38172</v>
      </c>
      <c r="KH10" s="17">
        <v>38172</v>
      </c>
      <c r="KI10" s="17">
        <v>38172</v>
      </c>
      <c r="KJ10" s="17">
        <v>38172</v>
      </c>
      <c r="KK10" s="17">
        <v>39172</v>
      </c>
      <c r="KL10" s="17">
        <v>39172</v>
      </c>
      <c r="KM10" s="17">
        <v>39172</v>
      </c>
      <c r="KN10" s="17">
        <v>39172</v>
      </c>
      <c r="KO10" s="17">
        <v>39172</v>
      </c>
      <c r="KP10" s="17">
        <v>39172</v>
      </c>
      <c r="KQ10" s="17">
        <v>39172</v>
      </c>
      <c r="KR10" s="17">
        <v>40172</v>
      </c>
      <c r="KS10" s="17">
        <v>40172</v>
      </c>
      <c r="KT10" s="17">
        <v>40172</v>
      </c>
      <c r="KU10" s="17">
        <v>40172</v>
      </c>
      <c r="KV10" s="17">
        <v>40172</v>
      </c>
      <c r="KW10" s="17">
        <v>40172</v>
      </c>
      <c r="KX10" s="17">
        <v>40172</v>
      </c>
      <c r="KY10" s="17">
        <v>41172</v>
      </c>
      <c r="KZ10" s="17">
        <v>41172</v>
      </c>
      <c r="LA10" s="17">
        <v>41172</v>
      </c>
      <c r="LB10" s="17">
        <v>41172</v>
      </c>
      <c r="LC10" s="17">
        <v>41172</v>
      </c>
      <c r="LD10" s="17">
        <v>41172</v>
      </c>
      <c r="LE10" s="17">
        <v>41172</v>
      </c>
      <c r="LF10" s="17">
        <v>41672</v>
      </c>
      <c r="LG10" s="17">
        <v>41672</v>
      </c>
      <c r="LH10" s="17">
        <v>41672</v>
      </c>
      <c r="LI10" s="17">
        <v>41672</v>
      </c>
      <c r="LJ10" s="17">
        <v>41672</v>
      </c>
      <c r="LK10" s="17">
        <v>41672</v>
      </c>
      <c r="LL10" s="17">
        <v>41672</v>
      </c>
      <c r="LM10" s="17">
        <v>41672</v>
      </c>
      <c r="LN10" s="17">
        <v>41672</v>
      </c>
      <c r="LO10" s="17">
        <v>41672</v>
      </c>
      <c r="LP10" s="17">
        <v>41672</v>
      </c>
      <c r="LQ10" s="17">
        <v>41672</v>
      </c>
      <c r="LR10" s="17">
        <v>41672</v>
      </c>
      <c r="LS10" s="17">
        <v>41672</v>
      </c>
      <c r="LT10" s="17">
        <v>41672</v>
      </c>
      <c r="LU10" s="17">
        <v>41672</v>
      </c>
      <c r="LV10" s="17">
        <v>41672</v>
      </c>
      <c r="LW10" s="17">
        <v>41672</v>
      </c>
      <c r="LX10" s="17">
        <v>41672</v>
      </c>
      <c r="LY10" s="17">
        <v>41672</v>
      </c>
      <c r="LZ10" s="17">
        <v>41672</v>
      </c>
      <c r="MA10" s="17">
        <v>41672</v>
      </c>
      <c r="MB10" s="17">
        <v>41672</v>
      </c>
      <c r="MC10" s="17">
        <v>41672</v>
      </c>
      <c r="MD10" s="17">
        <v>45546</v>
      </c>
      <c r="ME10" s="17">
        <v>45546</v>
      </c>
      <c r="MF10" s="17">
        <v>45546</v>
      </c>
      <c r="MG10" s="17">
        <v>45546</v>
      </c>
      <c r="MH10" s="17">
        <v>45546</v>
      </c>
      <c r="MI10" s="17">
        <v>45546</v>
      </c>
      <c r="MJ10" s="17">
        <v>45546</v>
      </c>
      <c r="MK10" s="17">
        <v>45546</v>
      </c>
      <c r="ML10" s="17">
        <v>45546</v>
      </c>
      <c r="MM10" s="17">
        <v>45546</v>
      </c>
      <c r="MN10" s="17">
        <v>45546</v>
      </c>
      <c r="MO10" s="17">
        <v>45546</v>
      </c>
      <c r="MP10" s="17">
        <v>45546</v>
      </c>
      <c r="MQ10" s="17">
        <v>45546</v>
      </c>
      <c r="MR10" s="17">
        <v>45546</v>
      </c>
      <c r="MS10" s="17">
        <v>45546</v>
      </c>
      <c r="MT10" s="17">
        <v>45546</v>
      </c>
      <c r="MU10" s="17">
        <v>45546</v>
      </c>
      <c r="MV10" s="17">
        <v>45546</v>
      </c>
      <c r="MW10" s="17">
        <v>45546</v>
      </c>
      <c r="MX10" s="17">
        <v>45546</v>
      </c>
      <c r="MY10" s="17">
        <v>45546</v>
      </c>
      <c r="MZ10" s="17">
        <v>45546</v>
      </c>
      <c r="NA10" s="17">
        <v>46010</v>
      </c>
      <c r="NB10" s="17">
        <v>46010</v>
      </c>
      <c r="NC10" s="17">
        <v>46010</v>
      </c>
      <c r="ND10" s="17">
        <v>46010</v>
      </c>
      <c r="NE10" s="17">
        <v>46010</v>
      </c>
      <c r="NF10" s="17">
        <v>46010</v>
      </c>
      <c r="NG10" s="17">
        <v>46010</v>
      </c>
      <c r="NH10" s="17">
        <v>46474</v>
      </c>
      <c r="NI10" s="17">
        <v>46474</v>
      </c>
      <c r="NJ10" s="17">
        <v>46474</v>
      </c>
      <c r="NK10" s="17">
        <v>46474</v>
      </c>
      <c r="NL10" s="17">
        <v>46474</v>
      </c>
      <c r="NM10" s="17">
        <v>46474</v>
      </c>
      <c r="NN10" s="17">
        <v>46474</v>
      </c>
      <c r="NO10" s="17">
        <v>46938</v>
      </c>
      <c r="NP10" s="17">
        <v>46938</v>
      </c>
      <c r="NQ10" s="17">
        <v>46938</v>
      </c>
      <c r="NR10" s="17">
        <v>46938</v>
      </c>
      <c r="NS10" s="17">
        <v>46938</v>
      </c>
      <c r="NT10" s="17">
        <v>46938</v>
      </c>
      <c r="NU10" s="17">
        <v>46938</v>
      </c>
      <c r="NV10" s="17">
        <v>47171</v>
      </c>
      <c r="NW10" s="17">
        <v>47171</v>
      </c>
      <c r="NX10" s="17">
        <v>47171</v>
      </c>
      <c r="NY10" s="17">
        <v>47171</v>
      </c>
      <c r="NZ10" s="17">
        <v>47171</v>
      </c>
      <c r="OA10" s="17">
        <v>47171</v>
      </c>
      <c r="OB10" s="17">
        <v>47171</v>
      </c>
      <c r="OC10" s="17">
        <v>47404</v>
      </c>
      <c r="OD10" s="17">
        <v>47404</v>
      </c>
      <c r="OE10" s="17">
        <v>47404</v>
      </c>
      <c r="OF10" s="17">
        <v>47404</v>
      </c>
      <c r="OG10" s="17">
        <v>47404</v>
      </c>
      <c r="OH10" s="17">
        <v>47404</v>
      </c>
      <c r="OI10" s="17">
        <v>47404</v>
      </c>
      <c r="OJ10" s="17">
        <v>47637</v>
      </c>
      <c r="OK10" s="17">
        <v>47637</v>
      </c>
      <c r="OL10" s="17">
        <v>47637</v>
      </c>
      <c r="OM10" s="17">
        <v>47637</v>
      </c>
      <c r="ON10" s="17">
        <v>47637</v>
      </c>
      <c r="OO10" s="17">
        <v>47637</v>
      </c>
      <c r="OP10" s="17">
        <v>47637</v>
      </c>
      <c r="OQ10" s="17">
        <v>47870</v>
      </c>
      <c r="OR10" s="17">
        <v>47870</v>
      </c>
      <c r="OS10" s="17">
        <v>47870</v>
      </c>
      <c r="OT10" s="17">
        <v>47870</v>
      </c>
      <c r="OU10" s="17">
        <v>47870</v>
      </c>
      <c r="OV10" s="17">
        <v>47870</v>
      </c>
      <c r="OW10" s="17">
        <v>47870</v>
      </c>
      <c r="OX10" s="17">
        <v>48103</v>
      </c>
      <c r="OY10" s="17">
        <v>48103</v>
      </c>
      <c r="OZ10" s="17">
        <v>48103</v>
      </c>
      <c r="PA10" s="17">
        <v>48103</v>
      </c>
      <c r="PB10" s="17">
        <v>48103</v>
      </c>
      <c r="PC10" s="17">
        <v>48103</v>
      </c>
      <c r="PD10" s="17">
        <v>48103</v>
      </c>
      <c r="PE10" s="17">
        <v>48336</v>
      </c>
      <c r="PF10" s="17">
        <v>48336</v>
      </c>
      <c r="PG10" s="17">
        <v>48336</v>
      </c>
      <c r="PH10" s="17">
        <v>48336</v>
      </c>
      <c r="PI10" s="17">
        <v>48336</v>
      </c>
      <c r="PJ10" s="17">
        <v>48336</v>
      </c>
      <c r="PK10" s="17">
        <v>48336</v>
      </c>
      <c r="PL10" s="17">
        <v>48336</v>
      </c>
    </row>
    <row r="11" spans="1:428" s="12" customFormat="1" outlineLevel="1">
      <c r="A11" s="20" t="s">
        <v>19</v>
      </c>
      <c r="B11" s="12" t="s">
        <v>20</v>
      </c>
      <c r="C11" s="12" t="str">
        <f t="shared" si="21"/>
        <v>LensRectangle LLINEN</v>
      </c>
      <c r="D11" s="12" t="s">
        <v>36</v>
      </c>
      <c r="E11" s="16" t="s">
        <v>14</v>
      </c>
      <c r="F11" s="13" t="s">
        <v>5</v>
      </c>
      <c r="G11" s="13" t="s">
        <v>3</v>
      </c>
      <c r="H11" s="14">
        <v>318003500483</v>
      </c>
      <c r="I11" s="13"/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96</v>
      </c>
      <c r="CL11" s="17">
        <v>96</v>
      </c>
      <c r="CM11" s="17">
        <v>664</v>
      </c>
      <c r="CN11" s="17">
        <v>664</v>
      </c>
      <c r="CO11" s="17">
        <v>664</v>
      </c>
      <c r="CP11" s="17">
        <v>664</v>
      </c>
      <c r="CQ11" s="17">
        <v>914</v>
      </c>
      <c r="CR11" s="17">
        <v>2430</v>
      </c>
      <c r="CS11" s="17">
        <v>2430</v>
      </c>
      <c r="CT11" s="17">
        <v>2430</v>
      </c>
      <c r="CU11" s="17">
        <v>2430</v>
      </c>
      <c r="CV11" s="17">
        <v>2430</v>
      </c>
      <c r="CW11" s="17">
        <v>2430</v>
      </c>
      <c r="CX11" s="17">
        <v>2430</v>
      </c>
      <c r="CY11" s="17">
        <v>2430</v>
      </c>
      <c r="CZ11" s="17">
        <v>2430</v>
      </c>
      <c r="DA11" s="17">
        <v>2520</v>
      </c>
      <c r="DB11" s="17">
        <v>2493</v>
      </c>
      <c r="DC11" s="17">
        <v>2493</v>
      </c>
      <c r="DD11" s="17">
        <v>2493</v>
      </c>
      <c r="DE11" s="17">
        <v>2493</v>
      </c>
      <c r="DF11" s="17">
        <v>2493</v>
      </c>
      <c r="DG11" s="17">
        <v>2493</v>
      </c>
      <c r="DH11" s="17">
        <v>2493</v>
      </c>
      <c r="DI11" s="17">
        <v>2493</v>
      </c>
      <c r="DJ11" s="17">
        <v>2493</v>
      </c>
      <c r="DK11" s="17">
        <v>2493</v>
      </c>
      <c r="DL11" s="17">
        <v>2493</v>
      </c>
      <c r="DM11" s="17">
        <v>7393</v>
      </c>
      <c r="DN11" s="17">
        <v>7393</v>
      </c>
      <c r="DO11" s="17">
        <v>7393</v>
      </c>
      <c r="DP11" s="17">
        <v>7393</v>
      </c>
      <c r="DQ11" s="17">
        <v>7393</v>
      </c>
      <c r="DR11" s="17">
        <v>7393</v>
      </c>
      <c r="DS11" s="17">
        <v>7393</v>
      </c>
      <c r="DT11" s="17">
        <v>7702</v>
      </c>
      <c r="DU11" s="17">
        <v>3875</v>
      </c>
      <c r="DV11" s="17">
        <v>3875</v>
      </c>
      <c r="DW11" s="17">
        <v>4021</v>
      </c>
      <c r="DX11" s="17">
        <v>4021</v>
      </c>
      <c r="DY11" s="17">
        <v>4021</v>
      </c>
      <c r="DZ11" s="17">
        <v>4021</v>
      </c>
      <c r="EA11" s="17">
        <v>4021</v>
      </c>
      <c r="EB11" s="17">
        <v>4021</v>
      </c>
      <c r="EC11" s="17">
        <v>4021</v>
      </c>
      <c r="ED11" s="17">
        <v>8196</v>
      </c>
      <c r="EE11" s="17">
        <v>8196</v>
      </c>
      <c r="EF11" s="17">
        <v>8196</v>
      </c>
      <c r="EG11" s="17">
        <v>8196</v>
      </c>
      <c r="EH11" s="17">
        <v>8196</v>
      </c>
      <c r="EI11" s="17">
        <v>8196</v>
      </c>
      <c r="EJ11" s="17">
        <v>8196</v>
      </c>
      <c r="EK11" s="17">
        <v>8196</v>
      </c>
      <c r="EL11" s="17">
        <v>8196</v>
      </c>
      <c r="EM11" s="17">
        <v>8196</v>
      </c>
      <c r="EN11" s="17">
        <v>8196</v>
      </c>
      <c r="EO11" s="17">
        <v>8196</v>
      </c>
      <c r="EP11" s="17">
        <v>8196</v>
      </c>
      <c r="EQ11" s="17">
        <v>8196</v>
      </c>
      <c r="ER11" s="17">
        <v>8558</v>
      </c>
      <c r="ES11" s="17">
        <v>0</v>
      </c>
      <c r="ET11" s="17">
        <v>0</v>
      </c>
      <c r="EU11" s="17">
        <v>0</v>
      </c>
      <c r="EV11" s="17">
        <v>0</v>
      </c>
      <c r="EW11" s="17">
        <v>0</v>
      </c>
      <c r="EX11" s="17">
        <v>0</v>
      </c>
      <c r="EY11" s="17">
        <v>1728</v>
      </c>
      <c r="EZ11" s="17">
        <v>1728</v>
      </c>
      <c r="FA11" s="17">
        <v>1728</v>
      </c>
      <c r="FB11" s="17">
        <v>1728</v>
      </c>
      <c r="FC11" s="17">
        <v>1728</v>
      </c>
      <c r="FD11" s="17">
        <v>1728</v>
      </c>
      <c r="FE11" s="17">
        <v>1728</v>
      </c>
      <c r="FF11" s="17">
        <v>3644</v>
      </c>
      <c r="FG11" s="17">
        <v>3644</v>
      </c>
      <c r="FH11" s="17">
        <v>3644</v>
      </c>
      <c r="FI11" s="17">
        <v>3644</v>
      </c>
      <c r="FJ11" s="17">
        <v>3644</v>
      </c>
      <c r="FK11" s="17">
        <v>3644</v>
      </c>
      <c r="FL11" s="17">
        <v>3644</v>
      </c>
      <c r="FM11" s="17">
        <v>3740</v>
      </c>
      <c r="FN11" s="17">
        <v>3740</v>
      </c>
      <c r="FO11" s="17">
        <v>3740</v>
      </c>
      <c r="FP11" s="17">
        <v>3740</v>
      </c>
      <c r="FQ11" s="17">
        <v>3740</v>
      </c>
      <c r="FR11" s="17">
        <v>3740</v>
      </c>
      <c r="FS11" s="17">
        <v>3740</v>
      </c>
      <c r="FT11" s="17">
        <v>3863</v>
      </c>
      <c r="FU11" s="17">
        <v>3863</v>
      </c>
      <c r="FV11" s="17">
        <v>3863</v>
      </c>
      <c r="FW11" s="17">
        <v>3863</v>
      </c>
      <c r="FX11" s="17">
        <v>3863</v>
      </c>
      <c r="FY11" s="17">
        <v>3863</v>
      </c>
      <c r="FZ11" s="17">
        <v>3863</v>
      </c>
      <c r="GA11" s="17">
        <v>3998</v>
      </c>
      <c r="GB11" s="17">
        <v>3998</v>
      </c>
      <c r="GC11" s="17">
        <v>3998</v>
      </c>
      <c r="GD11" s="17">
        <v>3998</v>
      </c>
      <c r="GE11" s="17">
        <v>3998</v>
      </c>
      <c r="GF11" s="17">
        <v>3998</v>
      </c>
      <c r="GG11" s="17">
        <v>3998</v>
      </c>
      <c r="GH11" s="17">
        <v>4118</v>
      </c>
      <c r="GI11" s="17">
        <v>4118</v>
      </c>
      <c r="GJ11" s="17">
        <v>4118</v>
      </c>
      <c r="GK11" s="17">
        <v>4118</v>
      </c>
      <c r="GL11" s="17">
        <v>4118</v>
      </c>
      <c r="GM11" s="17">
        <v>4118</v>
      </c>
      <c r="GN11" s="17">
        <v>4118</v>
      </c>
      <c r="GO11" s="17">
        <v>4311</v>
      </c>
      <c r="GP11" s="17">
        <v>4311</v>
      </c>
      <c r="GQ11" s="17">
        <v>4311</v>
      </c>
      <c r="GR11" s="17">
        <v>4311</v>
      </c>
      <c r="GS11" s="17">
        <v>4311</v>
      </c>
      <c r="GT11" s="17">
        <v>4311</v>
      </c>
      <c r="GU11" s="17">
        <v>4311</v>
      </c>
      <c r="GV11" s="17">
        <v>4469</v>
      </c>
      <c r="GW11" s="17">
        <v>4469</v>
      </c>
      <c r="GX11" s="17">
        <v>4469</v>
      </c>
      <c r="GY11" s="17">
        <v>4469</v>
      </c>
      <c r="GZ11" s="17">
        <v>4469</v>
      </c>
      <c r="HA11" s="17">
        <v>4469</v>
      </c>
      <c r="HB11" s="17">
        <v>4469</v>
      </c>
      <c r="HC11" s="17">
        <v>4634</v>
      </c>
      <c r="HD11" s="17">
        <v>4634</v>
      </c>
      <c r="HE11" s="17">
        <v>4634</v>
      </c>
      <c r="HF11" s="17">
        <v>4634</v>
      </c>
      <c r="HG11" s="17">
        <v>4634</v>
      </c>
      <c r="HH11" s="17">
        <v>4634</v>
      </c>
      <c r="HI11" s="17">
        <v>4634</v>
      </c>
      <c r="HJ11" s="17">
        <v>4863</v>
      </c>
      <c r="HK11" s="17">
        <v>4863</v>
      </c>
      <c r="HL11" s="17">
        <v>4863</v>
      </c>
      <c r="HM11" s="17">
        <v>4863</v>
      </c>
      <c r="HN11" s="17">
        <v>4863</v>
      </c>
      <c r="HO11" s="17">
        <v>4863</v>
      </c>
      <c r="HP11" s="17">
        <v>4863</v>
      </c>
      <c r="HQ11" s="17">
        <v>5125</v>
      </c>
      <c r="HR11" s="17">
        <v>5125</v>
      </c>
      <c r="HS11" s="17">
        <v>5125</v>
      </c>
      <c r="HT11" s="17">
        <v>5125</v>
      </c>
      <c r="HU11" s="17">
        <v>5125</v>
      </c>
      <c r="HV11" s="17">
        <v>5125</v>
      </c>
      <c r="HW11" s="17">
        <v>5125</v>
      </c>
      <c r="HX11" s="17">
        <v>5424</v>
      </c>
      <c r="HY11" s="17">
        <v>5424</v>
      </c>
      <c r="HZ11" s="17">
        <v>5424</v>
      </c>
      <c r="IA11" s="17">
        <v>5424</v>
      </c>
      <c r="IB11" s="17">
        <v>5424</v>
      </c>
      <c r="IC11" s="17">
        <v>5424</v>
      </c>
      <c r="ID11" s="17">
        <v>5424</v>
      </c>
      <c r="IE11" s="17">
        <v>5705</v>
      </c>
      <c r="IF11" s="17">
        <v>5705</v>
      </c>
      <c r="IG11" s="17">
        <v>5705</v>
      </c>
      <c r="IH11" s="17">
        <v>5705</v>
      </c>
      <c r="II11" s="17">
        <v>5705</v>
      </c>
      <c r="IJ11" s="17">
        <v>5705</v>
      </c>
      <c r="IK11" s="17">
        <v>5705</v>
      </c>
      <c r="IL11" s="17">
        <v>6060</v>
      </c>
      <c r="IM11" s="17">
        <v>6060</v>
      </c>
      <c r="IN11" s="17">
        <v>6060</v>
      </c>
      <c r="IO11" s="17">
        <v>6060</v>
      </c>
      <c r="IP11" s="17">
        <v>6060</v>
      </c>
      <c r="IQ11" s="17">
        <v>6060</v>
      </c>
      <c r="IR11" s="17">
        <v>6060</v>
      </c>
      <c r="IS11" s="17">
        <v>6421</v>
      </c>
      <c r="IT11" s="17">
        <v>6421</v>
      </c>
      <c r="IU11" s="17">
        <v>6421</v>
      </c>
      <c r="IV11" s="17">
        <v>6421</v>
      </c>
      <c r="IW11" s="17">
        <v>6421</v>
      </c>
      <c r="IX11" s="17">
        <v>6421</v>
      </c>
      <c r="IY11" s="17">
        <v>6421</v>
      </c>
      <c r="IZ11" s="17">
        <v>6567</v>
      </c>
      <c r="JA11" s="17">
        <v>6567</v>
      </c>
      <c r="JB11" s="17">
        <v>6567</v>
      </c>
      <c r="JC11" s="17">
        <v>6567</v>
      </c>
      <c r="JD11" s="17">
        <v>6567</v>
      </c>
      <c r="JE11" s="17">
        <v>6567</v>
      </c>
      <c r="JF11" s="17">
        <v>6567</v>
      </c>
      <c r="JG11" s="17">
        <v>6758</v>
      </c>
      <c r="JH11" s="17">
        <v>6758</v>
      </c>
      <c r="JI11" s="17">
        <v>6758</v>
      </c>
      <c r="JJ11" s="17">
        <v>6758</v>
      </c>
      <c r="JK11" s="17">
        <v>6758</v>
      </c>
      <c r="JL11" s="17">
        <v>6758</v>
      </c>
      <c r="JM11" s="17">
        <v>6758</v>
      </c>
      <c r="JN11" s="17">
        <v>6939</v>
      </c>
      <c r="JO11" s="17">
        <v>6939</v>
      </c>
      <c r="JP11" s="17">
        <v>6939</v>
      </c>
      <c r="JQ11" s="17">
        <v>6939</v>
      </c>
      <c r="JR11" s="17">
        <v>6939</v>
      </c>
      <c r="JS11" s="17">
        <v>6939</v>
      </c>
      <c r="JT11" s="17">
        <v>6939</v>
      </c>
      <c r="JU11" s="17">
        <v>7089</v>
      </c>
      <c r="JV11" s="17">
        <v>7089</v>
      </c>
      <c r="JW11" s="17">
        <v>7089</v>
      </c>
      <c r="JX11" s="17">
        <v>7089</v>
      </c>
      <c r="JY11" s="17">
        <v>7089</v>
      </c>
      <c r="JZ11" s="17">
        <v>7089</v>
      </c>
      <c r="KA11" s="17">
        <v>7089</v>
      </c>
      <c r="KB11" s="17">
        <v>7341</v>
      </c>
      <c r="KC11" s="17">
        <v>7341</v>
      </c>
      <c r="KD11" s="17">
        <v>7341</v>
      </c>
      <c r="KE11" s="17">
        <v>7341</v>
      </c>
      <c r="KF11" s="17">
        <v>7341</v>
      </c>
      <c r="KG11" s="17">
        <v>7341</v>
      </c>
      <c r="KH11" s="17">
        <v>7341</v>
      </c>
      <c r="KI11" s="17">
        <v>7590</v>
      </c>
      <c r="KJ11" s="17">
        <v>7590</v>
      </c>
      <c r="KK11" s="17">
        <v>7590</v>
      </c>
      <c r="KL11" s="17">
        <v>7590</v>
      </c>
      <c r="KM11" s="17">
        <v>7590</v>
      </c>
      <c r="KN11" s="17">
        <v>7590</v>
      </c>
      <c r="KO11" s="17">
        <v>7590</v>
      </c>
      <c r="KP11" s="17">
        <v>7822</v>
      </c>
      <c r="KQ11" s="17">
        <v>7822</v>
      </c>
      <c r="KR11" s="17">
        <v>7822</v>
      </c>
      <c r="KS11" s="17">
        <v>7822</v>
      </c>
      <c r="KT11" s="17">
        <v>7822</v>
      </c>
      <c r="KU11" s="17">
        <v>7822</v>
      </c>
      <c r="KV11" s="17">
        <v>7822</v>
      </c>
      <c r="KW11" s="17">
        <v>8006</v>
      </c>
      <c r="KX11" s="17">
        <v>8006</v>
      </c>
      <c r="KY11" s="17">
        <v>8006</v>
      </c>
      <c r="KZ11" s="17">
        <v>8006</v>
      </c>
      <c r="LA11" s="17">
        <v>8006</v>
      </c>
      <c r="LB11" s="17">
        <v>8006</v>
      </c>
      <c r="LC11" s="17">
        <v>8006</v>
      </c>
      <c r="LD11" s="17">
        <v>8137</v>
      </c>
      <c r="LE11" s="17">
        <v>8137</v>
      </c>
      <c r="LF11" s="17">
        <v>8144</v>
      </c>
      <c r="LG11" s="17">
        <v>8144</v>
      </c>
      <c r="LH11" s="17">
        <v>8144</v>
      </c>
      <c r="LI11" s="17">
        <v>8144</v>
      </c>
      <c r="LJ11" s="17">
        <v>8144</v>
      </c>
      <c r="LK11" s="17">
        <v>8144</v>
      </c>
      <c r="LL11" s="17">
        <v>8144</v>
      </c>
      <c r="LM11" s="17">
        <v>8144</v>
      </c>
      <c r="LN11" s="17">
        <v>8144</v>
      </c>
      <c r="LO11" s="17">
        <v>8144</v>
      </c>
      <c r="LP11" s="17">
        <v>8144</v>
      </c>
      <c r="LQ11" s="17">
        <v>8144</v>
      </c>
      <c r="LR11" s="17">
        <v>8144</v>
      </c>
      <c r="LS11" s="17">
        <v>8144</v>
      </c>
      <c r="LT11" s="17">
        <v>8144</v>
      </c>
      <c r="LU11" s="17">
        <v>8144</v>
      </c>
      <c r="LV11" s="17">
        <v>8144</v>
      </c>
      <c r="LW11" s="17">
        <v>8144</v>
      </c>
      <c r="LX11" s="17">
        <v>8144</v>
      </c>
      <c r="LY11" s="17">
        <v>8144</v>
      </c>
      <c r="LZ11" s="17">
        <v>8144</v>
      </c>
      <c r="MA11" s="17">
        <v>8144</v>
      </c>
      <c r="MB11" s="17">
        <v>8144</v>
      </c>
      <c r="MC11" s="17">
        <v>8144</v>
      </c>
      <c r="MD11" s="17">
        <v>8144</v>
      </c>
      <c r="ME11" s="17">
        <v>8144</v>
      </c>
      <c r="MF11" s="17">
        <v>8144</v>
      </c>
      <c r="MG11" s="17">
        <v>8144</v>
      </c>
      <c r="MH11" s="17">
        <v>8144</v>
      </c>
      <c r="MI11" s="17">
        <v>8144</v>
      </c>
      <c r="MJ11" s="17">
        <v>8144</v>
      </c>
      <c r="MK11" s="17">
        <v>8144</v>
      </c>
      <c r="ML11" s="17">
        <v>8144</v>
      </c>
      <c r="MM11" s="17">
        <v>8144</v>
      </c>
      <c r="MN11" s="17">
        <v>8144</v>
      </c>
      <c r="MO11" s="17">
        <v>8144</v>
      </c>
      <c r="MP11" s="17">
        <v>8144</v>
      </c>
      <c r="MQ11" s="17">
        <v>8144</v>
      </c>
      <c r="MR11" s="17">
        <v>8144</v>
      </c>
      <c r="MS11" s="17">
        <v>8144</v>
      </c>
      <c r="MT11" s="17">
        <v>8144</v>
      </c>
      <c r="MU11" s="17">
        <v>8144</v>
      </c>
      <c r="MV11" s="17">
        <v>8144</v>
      </c>
      <c r="MW11" s="17">
        <v>8144</v>
      </c>
      <c r="MX11" s="17">
        <v>8144</v>
      </c>
      <c r="MY11" s="17">
        <v>8144</v>
      </c>
      <c r="MZ11" s="17">
        <v>8144</v>
      </c>
      <c r="NA11" s="17">
        <v>8227</v>
      </c>
      <c r="NB11" s="17">
        <v>8227</v>
      </c>
      <c r="NC11" s="17">
        <v>8227</v>
      </c>
      <c r="ND11" s="17">
        <v>8227</v>
      </c>
      <c r="NE11" s="17">
        <v>8227</v>
      </c>
      <c r="NF11" s="17">
        <v>8227</v>
      </c>
      <c r="NG11" s="17">
        <v>8227</v>
      </c>
      <c r="NH11" s="17">
        <v>8310</v>
      </c>
      <c r="NI11" s="17">
        <v>8310</v>
      </c>
      <c r="NJ11" s="17">
        <v>8310</v>
      </c>
      <c r="NK11" s="17">
        <v>8310</v>
      </c>
      <c r="NL11" s="17">
        <v>8310</v>
      </c>
      <c r="NM11" s="17">
        <v>8310</v>
      </c>
      <c r="NN11" s="17">
        <v>8310</v>
      </c>
      <c r="NO11" s="17">
        <v>8393</v>
      </c>
      <c r="NP11" s="17">
        <v>8393</v>
      </c>
      <c r="NQ11" s="17">
        <v>8393</v>
      </c>
      <c r="NR11" s="17">
        <v>8393</v>
      </c>
      <c r="NS11" s="17">
        <v>8393</v>
      </c>
      <c r="NT11" s="17">
        <v>8393</v>
      </c>
      <c r="NU11" s="17">
        <v>8393</v>
      </c>
      <c r="NV11" s="17">
        <v>8435</v>
      </c>
      <c r="NW11" s="17">
        <v>8435</v>
      </c>
      <c r="NX11" s="17">
        <v>8435</v>
      </c>
      <c r="NY11" s="17">
        <v>8435</v>
      </c>
      <c r="NZ11" s="17">
        <v>8435</v>
      </c>
      <c r="OA11" s="17">
        <v>8435</v>
      </c>
      <c r="OB11" s="17">
        <v>8435</v>
      </c>
      <c r="OC11" s="17">
        <v>8477</v>
      </c>
      <c r="OD11" s="17">
        <v>8477</v>
      </c>
      <c r="OE11" s="17">
        <v>8477</v>
      </c>
      <c r="OF11" s="17">
        <v>8477</v>
      </c>
      <c r="OG11" s="17">
        <v>8477</v>
      </c>
      <c r="OH11" s="17">
        <v>8477</v>
      </c>
      <c r="OI11" s="17">
        <v>8477</v>
      </c>
      <c r="OJ11" s="17">
        <v>8519</v>
      </c>
      <c r="OK11" s="17">
        <v>8519</v>
      </c>
      <c r="OL11" s="17">
        <v>8519</v>
      </c>
      <c r="OM11" s="17">
        <v>8519</v>
      </c>
      <c r="ON11" s="17">
        <v>8519</v>
      </c>
      <c r="OO11" s="17">
        <v>8519</v>
      </c>
      <c r="OP11" s="17">
        <v>8519</v>
      </c>
      <c r="OQ11" s="17">
        <v>8561</v>
      </c>
      <c r="OR11" s="17">
        <v>8561</v>
      </c>
      <c r="OS11" s="17">
        <v>8561</v>
      </c>
      <c r="OT11" s="17">
        <v>8561</v>
      </c>
      <c r="OU11" s="17">
        <v>8561</v>
      </c>
      <c r="OV11" s="17">
        <v>8561</v>
      </c>
      <c r="OW11" s="17">
        <v>8561</v>
      </c>
      <c r="OX11" s="17">
        <v>8603</v>
      </c>
      <c r="OY11" s="17">
        <v>8603</v>
      </c>
      <c r="OZ11" s="17">
        <v>8603</v>
      </c>
      <c r="PA11" s="17">
        <v>8603</v>
      </c>
      <c r="PB11" s="17">
        <v>8603</v>
      </c>
      <c r="PC11" s="17">
        <v>8603</v>
      </c>
      <c r="PD11" s="17">
        <v>8603</v>
      </c>
      <c r="PE11" s="17">
        <v>8645</v>
      </c>
      <c r="PF11" s="17">
        <v>8645</v>
      </c>
      <c r="PG11" s="17">
        <v>8645</v>
      </c>
      <c r="PH11" s="17">
        <v>8645</v>
      </c>
      <c r="PI11" s="17">
        <v>8645</v>
      </c>
      <c r="PJ11" s="17">
        <v>8645</v>
      </c>
      <c r="PK11" s="17">
        <v>8645</v>
      </c>
      <c r="PL11" s="17">
        <v>8645</v>
      </c>
    </row>
    <row r="12" spans="1:428" s="12" customFormat="1" outlineLevel="1">
      <c r="A12" s="20" t="s">
        <v>19</v>
      </c>
      <c r="B12" s="12" t="s">
        <v>20</v>
      </c>
      <c r="C12" s="12" t="str">
        <f t="shared" si="21"/>
        <v>LensRectangle LMERLOT</v>
      </c>
      <c r="D12" s="12" t="s">
        <v>36</v>
      </c>
      <c r="E12" s="16" t="s">
        <v>14</v>
      </c>
      <c r="F12" s="13" t="s">
        <v>5</v>
      </c>
      <c r="G12" s="13" t="s">
        <v>4</v>
      </c>
      <c r="H12" s="14">
        <v>318003500483</v>
      </c>
      <c r="I12" s="13"/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890</v>
      </c>
      <c r="CQ12" s="17">
        <v>2661</v>
      </c>
      <c r="CR12" s="17">
        <v>2661</v>
      </c>
      <c r="CS12" s="17">
        <v>2661</v>
      </c>
      <c r="CT12" s="17">
        <v>2661</v>
      </c>
      <c r="CU12" s="17">
        <v>3340</v>
      </c>
      <c r="CV12" s="17">
        <v>3340</v>
      </c>
      <c r="CW12" s="17">
        <v>3340</v>
      </c>
      <c r="CX12" s="17">
        <v>3340</v>
      </c>
      <c r="CY12" s="17">
        <v>3340</v>
      </c>
      <c r="CZ12" s="17">
        <v>3340</v>
      </c>
      <c r="DA12" s="17">
        <v>3340</v>
      </c>
      <c r="DB12" s="17">
        <v>3340</v>
      </c>
      <c r="DC12" s="17">
        <v>3340</v>
      </c>
      <c r="DD12" s="17">
        <v>3340</v>
      </c>
      <c r="DE12" s="17">
        <v>3628</v>
      </c>
      <c r="DF12" s="17">
        <v>3628</v>
      </c>
      <c r="DG12" s="17">
        <v>3696</v>
      </c>
      <c r="DH12" s="17">
        <v>3696</v>
      </c>
      <c r="DI12" s="17">
        <v>3696</v>
      </c>
      <c r="DJ12" s="17">
        <v>3696</v>
      </c>
      <c r="DK12" s="17">
        <v>3696</v>
      </c>
      <c r="DL12" s="17">
        <v>3696</v>
      </c>
      <c r="DM12" s="17">
        <v>3696</v>
      </c>
      <c r="DN12" s="17">
        <v>3696</v>
      </c>
      <c r="DO12" s="17">
        <v>3696</v>
      </c>
      <c r="DP12" s="17">
        <v>7674</v>
      </c>
      <c r="DQ12" s="17">
        <v>7674</v>
      </c>
      <c r="DR12" s="17">
        <v>7674</v>
      </c>
      <c r="DS12" s="17">
        <v>7674</v>
      </c>
      <c r="DT12" s="17">
        <v>7674</v>
      </c>
      <c r="DU12" s="17">
        <v>3875</v>
      </c>
      <c r="DV12" s="17">
        <v>3875</v>
      </c>
      <c r="DW12" s="17">
        <v>4021</v>
      </c>
      <c r="DX12" s="17">
        <v>4021</v>
      </c>
      <c r="DY12" s="17">
        <v>4021</v>
      </c>
      <c r="DZ12" s="17">
        <v>4021</v>
      </c>
      <c r="EA12" s="17">
        <v>4021</v>
      </c>
      <c r="EB12" s="17">
        <v>4021</v>
      </c>
      <c r="EC12" s="17">
        <v>4021</v>
      </c>
      <c r="ED12" s="17">
        <v>6849</v>
      </c>
      <c r="EE12" s="17">
        <v>6849</v>
      </c>
      <c r="EF12" s="17">
        <v>6849</v>
      </c>
      <c r="EG12" s="17">
        <v>6849</v>
      </c>
      <c r="EH12" s="17">
        <v>6849</v>
      </c>
      <c r="EI12" s="17">
        <v>6849</v>
      </c>
      <c r="EJ12" s="17">
        <v>6849</v>
      </c>
      <c r="EK12" s="17">
        <v>6849</v>
      </c>
      <c r="EL12" s="17">
        <v>6849</v>
      </c>
      <c r="EM12" s="17">
        <v>6849</v>
      </c>
      <c r="EN12" s="17">
        <v>6849</v>
      </c>
      <c r="EO12" s="17">
        <v>6849</v>
      </c>
      <c r="EP12" s="17">
        <v>6849</v>
      </c>
      <c r="EQ12" s="17">
        <v>6849</v>
      </c>
      <c r="ER12" s="17">
        <v>7151</v>
      </c>
      <c r="ES12" s="17">
        <v>0</v>
      </c>
      <c r="ET12" s="17">
        <v>0</v>
      </c>
      <c r="EU12" s="17">
        <v>0</v>
      </c>
      <c r="EV12" s="17">
        <v>0</v>
      </c>
      <c r="EW12" s="17">
        <v>0</v>
      </c>
      <c r="EX12" s="17">
        <v>0</v>
      </c>
      <c r="EY12" s="17">
        <v>1728</v>
      </c>
      <c r="EZ12" s="17">
        <v>1728</v>
      </c>
      <c r="FA12" s="17">
        <v>1728</v>
      </c>
      <c r="FB12" s="17">
        <v>1728</v>
      </c>
      <c r="FC12" s="17">
        <v>1728</v>
      </c>
      <c r="FD12" s="17">
        <v>1728</v>
      </c>
      <c r="FE12" s="17">
        <v>1728</v>
      </c>
      <c r="FF12" s="17">
        <v>3161</v>
      </c>
      <c r="FG12" s="17">
        <v>3161</v>
      </c>
      <c r="FH12" s="17">
        <v>3161</v>
      </c>
      <c r="FI12" s="17">
        <v>3161</v>
      </c>
      <c r="FJ12" s="17">
        <v>3161</v>
      </c>
      <c r="FK12" s="17">
        <v>3161</v>
      </c>
      <c r="FL12" s="17">
        <v>3161</v>
      </c>
      <c r="FM12" s="17">
        <v>3228</v>
      </c>
      <c r="FN12" s="17">
        <v>3228</v>
      </c>
      <c r="FO12" s="17">
        <v>3228</v>
      </c>
      <c r="FP12" s="17">
        <v>3228</v>
      </c>
      <c r="FQ12" s="17">
        <v>3228</v>
      </c>
      <c r="FR12" s="17">
        <v>3228</v>
      </c>
      <c r="FS12" s="17">
        <v>3228</v>
      </c>
      <c r="FT12" s="17">
        <v>3328</v>
      </c>
      <c r="FU12" s="17">
        <v>3328</v>
      </c>
      <c r="FV12" s="17">
        <v>3328</v>
      </c>
      <c r="FW12" s="17">
        <v>3328</v>
      </c>
      <c r="FX12" s="17">
        <v>3328</v>
      </c>
      <c r="FY12" s="17">
        <v>3328</v>
      </c>
      <c r="FZ12" s="17">
        <v>3328</v>
      </c>
      <c r="GA12" s="17">
        <v>3440</v>
      </c>
      <c r="GB12" s="17">
        <v>3440</v>
      </c>
      <c r="GC12" s="17">
        <v>3440</v>
      </c>
      <c r="GD12" s="17">
        <v>3440</v>
      </c>
      <c r="GE12" s="17">
        <v>3440</v>
      </c>
      <c r="GF12" s="17">
        <v>3440</v>
      </c>
      <c r="GG12" s="17">
        <v>3440</v>
      </c>
      <c r="GH12" s="17">
        <v>3536</v>
      </c>
      <c r="GI12" s="17">
        <v>3536</v>
      </c>
      <c r="GJ12" s="17">
        <v>3536</v>
      </c>
      <c r="GK12" s="17">
        <v>3536</v>
      </c>
      <c r="GL12" s="17">
        <v>3536</v>
      </c>
      <c r="GM12" s="17">
        <v>3536</v>
      </c>
      <c r="GN12" s="17">
        <v>3536</v>
      </c>
      <c r="GO12" s="17">
        <v>3642</v>
      </c>
      <c r="GP12" s="17">
        <v>3642</v>
      </c>
      <c r="GQ12" s="17">
        <v>3642</v>
      </c>
      <c r="GR12" s="17">
        <v>3642</v>
      </c>
      <c r="GS12" s="17">
        <v>3642</v>
      </c>
      <c r="GT12" s="17">
        <v>3642</v>
      </c>
      <c r="GU12" s="17">
        <v>3642</v>
      </c>
      <c r="GV12" s="17">
        <v>3725</v>
      </c>
      <c r="GW12" s="17">
        <v>3725</v>
      </c>
      <c r="GX12" s="17">
        <v>3725</v>
      </c>
      <c r="GY12" s="17">
        <v>3725</v>
      </c>
      <c r="GZ12" s="17">
        <v>3725</v>
      </c>
      <c r="HA12" s="17">
        <v>3725</v>
      </c>
      <c r="HB12" s="17">
        <v>3725</v>
      </c>
      <c r="HC12" s="17">
        <v>3815</v>
      </c>
      <c r="HD12" s="17">
        <v>3815</v>
      </c>
      <c r="HE12" s="17">
        <v>3815</v>
      </c>
      <c r="HF12" s="17">
        <v>3815</v>
      </c>
      <c r="HG12" s="17">
        <v>3815</v>
      </c>
      <c r="HH12" s="17">
        <v>3815</v>
      </c>
      <c r="HI12" s="17">
        <v>3815</v>
      </c>
      <c r="HJ12" s="17">
        <v>3940</v>
      </c>
      <c r="HK12" s="17">
        <v>3940</v>
      </c>
      <c r="HL12" s="17">
        <v>3940</v>
      </c>
      <c r="HM12" s="17">
        <v>3940</v>
      </c>
      <c r="HN12" s="17">
        <v>3940</v>
      </c>
      <c r="HO12" s="17">
        <v>3940</v>
      </c>
      <c r="HP12" s="17">
        <v>3940</v>
      </c>
      <c r="HQ12" s="17">
        <v>4081</v>
      </c>
      <c r="HR12" s="17">
        <v>4081</v>
      </c>
      <c r="HS12" s="17">
        <v>4081</v>
      </c>
      <c r="HT12" s="17">
        <v>4081</v>
      </c>
      <c r="HU12" s="17">
        <v>4081</v>
      </c>
      <c r="HV12" s="17">
        <v>4081</v>
      </c>
      <c r="HW12" s="17">
        <v>4081</v>
      </c>
      <c r="HX12" s="17">
        <v>4251</v>
      </c>
      <c r="HY12" s="17">
        <v>4251</v>
      </c>
      <c r="HZ12" s="17">
        <v>4251</v>
      </c>
      <c r="IA12" s="17">
        <v>4251</v>
      </c>
      <c r="IB12" s="17">
        <v>4251</v>
      </c>
      <c r="IC12" s="17">
        <v>4251</v>
      </c>
      <c r="ID12" s="17">
        <v>4251</v>
      </c>
      <c r="IE12" s="17">
        <v>4378</v>
      </c>
      <c r="IF12" s="17">
        <v>4378</v>
      </c>
      <c r="IG12" s="17">
        <v>4378</v>
      </c>
      <c r="IH12" s="17">
        <v>4378</v>
      </c>
      <c r="II12" s="17">
        <v>4378</v>
      </c>
      <c r="IJ12" s="17">
        <v>4378</v>
      </c>
      <c r="IK12" s="17">
        <v>4378</v>
      </c>
      <c r="IL12" s="17">
        <v>4561</v>
      </c>
      <c r="IM12" s="17">
        <v>4561</v>
      </c>
      <c r="IN12" s="17">
        <v>4561</v>
      </c>
      <c r="IO12" s="17">
        <v>4561</v>
      </c>
      <c r="IP12" s="17">
        <v>4561</v>
      </c>
      <c r="IQ12" s="17">
        <v>4561</v>
      </c>
      <c r="IR12" s="17">
        <v>4561</v>
      </c>
      <c r="IS12" s="17">
        <v>4721</v>
      </c>
      <c r="IT12" s="17">
        <v>4721</v>
      </c>
      <c r="IU12" s="17">
        <v>4721</v>
      </c>
      <c r="IV12" s="17">
        <v>4721</v>
      </c>
      <c r="IW12" s="17">
        <v>4721</v>
      </c>
      <c r="IX12" s="17">
        <v>4721</v>
      </c>
      <c r="IY12" s="17">
        <v>4721</v>
      </c>
      <c r="IZ12" s="17">
        <v>4788</v>
      </c>
      <c r="JA12" s="17">
        <v>4788</v>
      </c>
      <c r="JB12" s="17">
        <v>4788</v>
      </c>
      <c r="JC12" s="17">
        <v>4788</v>
      </c>
      <c r="JD12" s="17">
        <v>4788</v>
      </c>
      <c r="JE12" s="17">
        <v>4788</v>
      </c>
      <c r="JF12" s="17">
        <v>4788</v>
      </c>
      <c r="JG12" s="17">
        <v>4901</v>
      </c>
      <c r="JH12" s="17">
        <v>4901</v>
      </c>
      <c r="JI12" s="17">
        <v>4901</v>
      </c>
      <c r="JJ12" s="17">
        <v>4901</v>
      </c>
      <c r="JK12" s="17">
        <v>4901</v>
      </c>
      <c r="JL12" s="17">
        <v>4901</v>
      </c>
      <c r="JM12" s="17">
        <v>4901</v>
      </c>
      <c r="JN12" s="17">
        <v>5011</v>
      </c>
      <c r="JO12" s="17">
        <v>5011</v>
      </c>
      <c r="JP12" s="17">
        <v>5011</v>
      </c>
      <c r="JQ12" s="17">
        <v>5011</v>
      </c>
      <c r="JR12" s="17">
        <v>5011</v>
      </c>
      <c r="JS12" s="17">
        <v>5011</v>
      </c>
      <c r="JT12" s="17">
        <v>5011</v>
      </c>
      <c r="JU12" s="17">
        <v>5100</v>
      </c>
      <c r="JV12" s="17">
        <v>5100</v>
      </c>
      <c r="JW12" s="17">
        <v>5100</v>
      </c>
      <c r="JX12" s="17">
        <v>5100</v>
      </c>
      <c r="JY12" s="17">
        <v>5100</v>
      </c>
      <c r="JZ12" s="17">
        <v>5100</v>
      </c>
      <c r="KA12" s="17">
        <v>5100</v>
      </c>
      <c r="KB12" s="17">
        <v>5291</v>
      </c>
      <c r="KC12" s="17">
        <v>5291</v>
      </c>
      <c r="KD12" s="17">
        <v>5291</v>
      </c>
      <c r="KE12" s="17">
        <v>5291</v>
      </c>
      <c r="KF12" s="17">
        <v>5291</v>
      </c>
      <c r="KG12" s="17">
        <v>5291</v>
      </c>
      <c r="KH12" s="17">
        <v>5291</v>
      </c>
      <c r="KI12" s="17">
        <v>5475</v>
      </c>
      <c r="KJ12" s="17">
        <v>5475</v>
      </c>
      <c r="KK12" s="17">
        <v>5475</v>
      </c>
      <c r="KL12" s="17">
        <v>5475</v>
      </c>
      <c r="KM12" s="17">
        <v>5475</v>
      </c>
      <c r="KN12" s="17">
        <v>5475</v>
      </c>
      <c r="KO12" s="17">
        <v>5475</v>
      </c>
      <c r="KP12" s="17">
        <v>5651</v>
      </c>
      <c r="KQ12" s="17">
        <v>5651</v>
      </c>
      <c r="KR12" s="17">
        <v>5651</v>
      </c>
      <c r="KS12" s="17">
        <v>5651</v>
      </c>
      <c r="KT12" s="17">
        <v>5651</v>
      </c>
      <c r="KU12" s="17">
        <v>5651</v>
      </c>
      <c r="KV12" s="17">
        <v>5651</v>
      </c>
      <c r="KW12" s="17">
        <v>5778</v>
      </c>
      <c r="KX12" s="17">
        <v>5778</v>
      </c>
      <c r="KY12" s="17">
        <v>5778</v>
      </c>
      <c r="KZ12" s="17">
        <v>5778</v>
      </c>
      <c r="LA12" s="17">
        <v>5778</v>
      </c>
      <c r="LB12" s="17">
        <v>5778</v>
      </c>
      <c r="LC12" s="17">
        <v>5778</v>
      </c>
      <c r="LD12" s="17">
        <v>5878</v>
      </c>
      <c r="LE12" s="17">
        <v>5878</v>
      </c>
      <c r="LF12" s="17">
        <v>5878</v>
      </c>
      <c r="LG12" s="17">
        <v>5878</v>
      </c>
      <c r="LH12" s="17">
        <v>5878</v>
      </c>
      <c r="LI12" s="17">
        <v>5878</v>
      </c>
      <c r="LJ12" s="17">
        <v>5878</v>
      </c>
      <c r="LK12" s="17">
        <v>5878</v>
      </c>
      <c r="LL12" s="17">
        <v>5878</v>
      </c>
      <c r="LM12" s="17">
        <v>5878</v>
      </c>
      <c r="LN12" s="17">
        <v>5878</v>
      </c>
      <c r="LO12" s="17">
        <v>5878</v>
      </c>
      <c r="LP12" s="17">
        <v>5878</v>
      </c>
      <c r="LQ12" s="17">
        <v>5878</v>
      </c>
      <c r="LR12" s="17">
        <v>5878</v>
      </c>
      <c r="LS12" s="17">
        <v>5878</v>
      </c>
      <c r="LT12" s="17">
        <v>5878</v>
      </c>
      <c r="LU12" s="17">
        <v>5878</v>
      </c>
      <c r="LV12" s="17">
        <v>5878</v>
      </c>
      <c r="LW12" s="17">
        <v>5878</v>
      </c>
      <c r="LX12" s="17">
        <v>5878</v>
      </c>
      <c r="LY12" s="17">
        <v>5878</v>
      </c>
      <c r="LZ12" s="17">
        <v>5878</v>
      </c>
      <c r="MA12" s="17">
        <v>5878</v>
      </c>
      <c r="MB12" s="17">
        <v>5878</v>
      </c>
      <c r="MC12" s="17">
        <v>5878</v>
      </c>
      <c r="MD12" s="17">
        <v>5878</v>
      </c>
      <c r="ME12" s="17">
        <v>5878</v>
      </c>
      <c r="MF12" s="17">
        <v>5878</v>
      </c>
      <c r="MG12" s="17">
        <v>5878</v>
      </c>
      <c r="MH12" s="17">
        <v>5878</v>
      </c>
      <c r="MI12" s="17">
        <v>5878</v>
      </c>
      <c r="MJ12" s="17">
        <v>5878</v>
      </c>
      <c r="MK12" s="17">
        <v>5878</v>
      </c>
      <c r="ML12" s="17">
        <v>5878</v>
      </c>
      <c r="MM12" s="17">
        <v>5878</v>
      </c>
      <c r="MN12" s="17">
        <v>5878</v>
      </c>
      <c r="MO12" s="17">
        <v>5878</v>
      </c>
      <c r="MP12" s="17">
        <v>5878</v>
      </c>
      <c r="MQ12" s="17">
        <v>5878</v>
      </c>
      <c r="MR12" s="17">
        <v>5878</v>
      </c>
      <c r="MS12" s="17">
        <v>5878</v>
      </c>
      <c r="MT12" s="17">
        <v>5878</v>
      </c>
      <c r="MU12" s="17">
        <v>5878</v>
      </c>
      <c r="MV12" s="17">
        <v>5878</v>
      </c>
      <c r="MW12" s="17">
        <v>5878</v>
      </c>
      <c r="MX12" s="17">
        <v>5878</v>
      </c>
      <c r="MY12" s="17">
        <v>5878</v>
      </c>
      <c r="MZ12" s="17">
        <v>5878</v>
      </c>
      <c r="NA12" s="17">
        <v>5938</v>
      </c>
      <c r="NB12" s="17">
        <v>5938</v>
      </c>
      <c r="NC12" s="17">
        <v>5938</v>
      </c>
      <c r="ND12" s="17">
        <v>5938</v>
      </c>
      <c r="NE12" s="17">
        <v>5938</v>
      </c>
      <c r="NF12" s="17">
        <v>5938</v>
      </c>
      <c r="NG12" s="17">
        <v>5938</v>
      </c>
      <c r="NH12" s="17">
        <v>5998</v>
      </c>
      <c r="NI12" s="17">
        <v>5998</v>
      </c>
      <c r="NJ12" s="17">
        <v>5998</v>
      </c>
      <c r="NK12" s="17">
        <v>5998</v>
      </c>
      <c r="NL12" s="17">
        <v>5998</v>
      </c>
      <c r="NM12" s="17">
        <v>5998</v>
      </c>
      <c r="NN12" s="17">
        <v>5998</v>
      </c>
      <c r="NO12" s="17">
        <v>6058</v>
      </c>
      <c r="NP12" s="17">
        <v>6058</v>
      </c>
      <c r="NQ12" s="17">
        <v>6058</v>
      </c>
      <c r="NR12" s="17">
        <v>6058</v>
      </c>
      <c r="NS12" s="17">
        <v>6058</v>
      </c>
      <c r="NT12" s="17">
        <v>6058</v>
      </c>
      <c r="NU12" s="17">
        <v>6058</v>
      </c>
      <c r="NV12" s="17">
        <v>6088</v>
      </c>
      <c r="NW12" s="17">
        <v>6088</v>
      </c>
      <c r="NX12" s="17">
        <v>6088</v>
      </c>
      <c r="NY12" s="17">
        <v>6088</v>
      </c>
      <c r="NZ12" s="17">
        <v>6088</v>
      </c>
      <c r="OA12" s="17">
        <v>6088</v>
      </c>
      <c r="OB12" s="17">
        <v>6088</v>
      </c>
      <c r="OC12" s="17">
        <v>6118</v>
      </c>
      <c r="OD12" s="17">
        <v>6118</v>
      </c>
      <c r="OE12" s="17">
        <v>6118</v>
      </c>
      <c r="OF12" s="17">
        <v>6118</v>
      </c>
      <c r="OG12" s="17">
        <v>6118</v>
      </c>
      <c r="OH12" s="17">
        <v>6118</v>
      </c>
      <c r="OI12" s="17">
        <v>6118</v>
      </c>
      <c r="OJ12" s="17">
        <v>6148</v>
      </c>
      <c r="OK12" s="17">
        <v>6148</v>
      </c>
      <c r="OL12" s="17">
        <v>6148</v>
      </c>
      <c r="OM12" s="17">
        <v>6148</v>
      </c>
      <c r="ON12" s="17">
        <v>6148</v>
      </c>
      <c r="OO12" s="17">
        <v>6148</v>
      </c>
      <c r="OP12" s="17">
        <v>6148</v>
      </c>
      <c r="OQ12" s="17">
        <v>6178</v>
      </c>
      <c r="OR12" s="17">
        <v>6178</v>
      </c>
      <c r="OS12" s="17">
        <v>6178</v>
      </c>
      <c r="OT12" s="17">
        <v>6178</v>
      </c>
      <c r="OU12" s="17">
        <v>6178</v>
      </c>
      <c r="OV12" s="17">
        <v>6178</v>
      </c>
      <c r="OW12" s="17">
        <v>6178</v>
      </c>
      <c r="OX12" s="17">
        <v>6208</v>
      </c>
      <c r="OY12" s="17">
        <v>6208</v>
      </c>
      <c r="OZ12" s="17">
        <v>6208</v>
      </c>
      <c r="PA12" s="17">
        <v>6208</v>
      </c>
      <c r="PB12" s="17">
        <v>6208</v>
      </c>
      <c r="PC12" s="17">
        <v>6208</v>
      </c>
      <c r="PD12" s="17">
        <v>6208</v>
      </c>
      <c r="PE12" s="17">
        <v>6238</v>
      </c>
      <c r="PF12" s="17">
        <v>6238</v>
      </c>
      <c r="PG12" s="17">
        <v>6238</v>
      </c>
      <c r="PH12" s="17">
        <v>6238</v>
      </c>
      <c r="PI12" s="17">
        <v>6238</v>
      </c>
      <c r="PJ12" s="17">
        <v>6238</v>
      </c>
      <c r="PK12" s="17">
        <v>6238</v>
      </c>
      <c r="PL12" s="17">
        <v>6238</v>
      </c>
    </row>
    <row r="13" spans="1:428" s="12" customFormat="1" outlineLevel="1">
      <c r="A13" s="20" t="s">
        <v>19</v>
      </c>
      <c r="B13" s="12" t="s">
        <v>21</v>
      </c>
      <c r="C13" s="12" t="str">
        <f t="shared" si="21"/>
        <v>LensBoldBLACK</v>
      </c>
      <c r="D13" s="12" t="s">
        <v>36</v>
      </c>
      <c r="E13" s="16" t="s">
        <v>14</v>
      </c>
      <c r="F13" s="13" t="s">
        <v>6</v>
      </c>
      <c r="G13" s="13" t="s">
        <v>1</v>
      </c>
      <c r="H13" s="14">
        <v>318003500484</v>
      </c>
      <c r="I13" s="13"/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1717</v>
      </c>
      <c r="BT13" s="17">
        <v>1717</v>
      </c>
      <c r="BU13" s="17">
        <v>1717</v>
      </c>
      <c r="BV13" s="17">
        <v>1717</v>
      </c>
      <c r="BW13" s="17">
        <v>1717</v>
      </c>
      <c r="BX13" s="17">
        <v>1717</v>
      </c>
      <c r="BY13" s="17">
        <v>1717</v>
      </c>
      <c r="BZ13" s="17">
        <v>2516</v>
      </c>
      <c r="CA13" s="17">
        <v>3505</v>
      </c>
      <c r="CB13" s="17">
        <v>3505</v>
      </c>
      <c r="CC13" s="17">
        <v>4129</v>
      </c>
      <c r="CD13" s="17">
        <v>4129</v>
      </c>
      <c r="CE13" s="17">
        <v>3216</v>
      </c>
      <c r="CF13" s="17">
        <v>3216</v>
      </c>
      <c r="CG13" s="17">
        <v>3216</v>
      </c>
      <c r="CH13" s="17">
        <v>3216</v>
      </c>
      <c r="CI13" s="17">
        <v>3743</v>
      </c>
      <c r="CJ13" s="17">
        <v>5665</v>
      </c>
      <c r="CK13" s="17">
        <v>5665</v>
      </c>
      <c r="CL13" s="17">
        <v>6475</v>
      </c>
      <c r="CM13" s="17">
        <v>5224</v>
      </c>
      <c r="CN13" s="17">
        <v>5224</v>
      </c>
      <c r="CO13" s="17">
        <v>6445</v>
      </c>
      <c r="CP13" s="17">
        <v>8224</v>
      </c>
      <c r="CQ13" s="17">
        <v>8224</v>
      </c>
      <c r="CR13" s="17">
        <v>11145</v>
      </c>
      <c r="CS13" s="17">
        <v>11145</v>
      </c>
      <c r="CT13" s="17">
        <v>13660</v>
      </c>
      <c r="CU13" s="17">
        <v>13660</v>
      </c>
      <c r="CV13" s="17">
        <v>15532</v>
      </c>
      <c r="CW13" s="17">
        <v>16580</v>
      </c>
      <c r="CX13" s="17">
        <v>17607</v>
      </c>
      <c r="CY13" s="17">
        <v>18727</v>
      </c>
      <c r="CZ13" s="17">
        <v>18727</v>
      </c>
      <c r="DA13" s="17">
        <v>18727</v>
      </c>
      <c r="DB13" s="17">
        <v>19082</v>
      </c>
      <c r="DC13" s="17">
        <v>21064</v>
      </c>
      <c r="DD13" s="17">
        <v>21494</v>
      </c>
      <c r="DE13" s="17">
        <v>22809</v>
      </c>
      <c r="DF13" s="17">
        <v>22809</v>
      </c>
      <c r="DG13" s="17">
        <v>23632</v>
      </c>
      <c r="DH13" s="17">
        <v>25504</v>
      </c>
      <c r="DI13" s="17">
        <v>27894</v>
      </c>
      <c r="DJ13" s="17">
        <v>29766</v>
      </c>
      <c r="DK13" s="17">
        <v>34134</v>
      </c>
      <c r="DL13" s="17">
        <v>38502</v>
      </c>
      <c r="DM13" s="17">
        <v>39753</v>
      </c>
      <c r="DN13" s="17">
        <v>40267</v>
      </c>
      <c r="DO13" s="17">
        <v>41131</v>
      </c>
      <c r="DP13" s="17">
        <v>41131</v>
      </c>
      <c r="DQ13" s="17">
        <v>44395</v>
      </c>
      <c r="DR13" s="17">
        <v>46027</v>
      </c>
      <c r="DS13" s="17">
        <v>47511</v>
      </c>
      <c r="DT13" s="17">
        <v>48759</v>
      </c>
      <c r="DU13" s="17">
        <v>48482</v>
      </c>
      <c r="DV13" s="17">
        <v>48482</v>
      </c>
      <c r="DW13" s="17">
        <v>51050</v>
      </c>
      <c r="DX13" s="17">
        <v>52207</v>
      </c>
      <c r="DY13" s="17">
        <v>52207</v>
      </c>
      <c r="DZ13" s="17">
        <v>52207</v>
      </c>
      <c r="EA13" s="17">
        <v>52207</v>
      </c>
      <c r="EB13" s="17">
        <v>52207</v>
      </c>
      <c r="EC13" s="17">
        <v>52207</v>
      </c>
      <c r="ED13" s="17">
        <v>53505</v>
      </c>
      <c r="EE13" s="17">
        <v>53505</v>
      </c>
      <c r="EF13" s="17">
        <v>53505</v>
      </c>
      <c r="EG13" s="17">
        <v>53505</v>
      </c>
      <c r="EH13" s="17">
        <v>53505</v>
      </c>
      <c r="EI13" s="17">
        <v>53505</v>
      </c>
      <c r="EJ13" s="17">
        <v>53505</v>
      </c>
      <c r="EK13" s="17">
        <v>54803</v>
      </c>
      <c r="EL13" s="17">
        <v>54803</v>
      </c>
      <c r="EM13" s="17">
        <v>54803</v>
      </c>
      <c r="EN13" s="17">
        <v>54803</v>
      </c>
      <c r="EO13" s="17">
        <v>54803</v>
      </c>
      <c r="EP13" s="17">
        <v>54803</v>
      </c>
      <c r="EQ13" s="17">
        <v>54803</v>
      </c>
      <c r="ER13" s="17">
        <v>56905</v>
      </c>
      <c r="ES13" s="17">
        <v>0</v>
      </c>
      <c r="ET13" s="17">
        <v>0</v>
      </c>
      <c r="EU13" s="17">
        <v>0</v>
      </c>
      <c r="EV13" s="17">
        <v>0</v>
      </c>
      <c r="EW13" s="17">
        <v>0</v>
      </c>
      <c r="EX13" s="17">
        <v>0</v>
      </c>
      <c r="EY13" s="17">
        <v>49688</v>
      </c>
      <c r="EZ13" s="17">
        <v>49688</v>
      </c>
      <c r="FA13" s="17">
        <v>49688</v>
      </c>
      <c r="FB13" s="17">
        <v>49688</v>
      </c>
      <c r="FC13" s="17">
        <v>49688</v>
      </c>
      <c r="FD13" s="17">
        <v>49688</v>
      </c>
      <c r="FE13" s="17">
        <v>49688</v>
      </c>
      <c r="FF13" s="17">
        <v>60999</v>
      </c>
      <c r="FG13" s="17">
        <v>60999</v>
      </c>
      <c r="FH13" s="17">
        <v>60999</v>
      </c>
      <c r="FI13" s="17">
        <v>60999</v>
      </c>
      <c r="FJ13" s="17">
        <v>60999</v>
      </c>
      <c r="FK13" s="17">
        <v>60999</v>
      </c>
      <c r="FL13" s="17">
        <v>60999</v>
      </c>
      <c r="FM13" s="17">
        <v>66549</v>
      </c>
      <c r="FN13" s="17">
        <v>66549</v>
      </c>
      <c r="FO13" s="17">
        <v>66549</v>
      </c>
      <c r="FP13" s="17">
        <v>66549</v>
      </c>
      <c r="FQ13" s="17">
        <v>66549</v>
      </c>
      <c r="FR13" s="17">
        <v>66549</v>
      </c>
      <c r="FS13" s="17">
        <v>66549</v>
      </c>
      <c r="FT13" s="17">
        <v>69579</v>
      </c>
      <c r="FU13" s="17">
        <v>69579</v>
      </c>
      <c r="FV13" s="17">
        <v>69579</v>
      </c>
      <c r="FW13" s="17">
        <v>69579</v>
      </c>
      <c r="FX13" s="17">
        <v>69579</v>
      </c>
      <c r="FY13" s="17">
        <v>69579</v>
      </c>
      <c r="FZ13" s="17">
        <v>69579</v>
      </c>
      <c r="GA13" s="17">
        <v>72549</v>
      </c>
      <c r="GB13" s="17">
        <v>72549</v>
      </c>
      <c r="GC13" s="17">
        <v>72549</v>
      </c>
      <c r="GD13" s="17">
        <v>72549</v>
      </c>
      <c r="GE13" s="17">
        <v>72549</v>
      </c>
      <c r="GF13" s="17">
        <v>72549</v>
      </c>
      <c r="GG13" s="17">
        <v>72549</v>
      </c>
      <c r="GH13" s="17">
        <v>75389</v>
      </c>
      <c r="GI13" s="17">
        <v>75389</v>
      </c>
      <c r="GJ13" s="17">
        <v>75389</v>
      </c>
      <c r="GK13" s="17">
        <v>75389</v>
      </c>
      <c r="GL13" s="17">
        <v>75389</v>
      </c>
      <c r="GM13" s="17">
        <v>75389</v>
      </c>
      <c r="GN13" s="17">
        <v>75389</v>
      </c>
      <c r="GO13" s="17">
        <v>78061</v>
      </c>
      <c r="GP13" s="17">
        <v>78061</v>
      </c>
      <c r="GQ13" s="17">
        <v>78061</v>
      </c>
      <c r="GR13" s="17">
        <v>78061</v>
      </c>
      <c r="GS13" s="17">
        <v>78061</v>
      </c>
      <c r="GT13" s="17">
        <v>78061</v>
      </c>
      <c r="GU13" s="17">
        <v>78061</v>
      </c>
      <c r="GV13" s="17">
        <v>81020</v>
      </c>
      <c r="GW13" s="17">
        <v>81020</v>
      </c>
      <c r="GX13" s="17">
        <v>81020</v>
      </c>
      <c r="GY13" s="17">
        <v>81020</v>
      </c>
      <c r="GZ13" s="17">
        <v>81020</v>
      </c>
      <c r="HA13" s="17">
        <v>81020</v>
      </c>
      <c r="HB13" s="17">
        <v>81020</v>
      </c>
      <c r="HC13" s="17">
        <v>82870</v>
      </c>
      <c r="HD13" s="17">
        <v>82870</v>
      </c>
      <c r="HE13" s="17">
        <v>82870</v>
      </c>
      <c r="HF13" s="17">
        <v>82870</v>
      </c>
      <c r="HG13" s="17">
        <v>82870</v>
      </c>
      <c r="HH13" s="17">
        <v>82870</v>
      </c>
      <c r="HI13" s="17">
        <v>82870</v>
      </c>
      <c r="HJ13" s="17">
        <v>84471</v>
      </c>
      <c r="HK13" s="17">
        <v>84471</v>
      </c>
      <c r="HL13" s="17">
        <v>84471</v>
      </c>
      <c r="HM13" s="17">
        <v>84471</v>
      </c>
      <c r="HN13" s="17">
        <v>84471</v>
      </c>
      <c r="HO13" s="17">
        <v>84471</v>
      </c>
      <c r="HP13" s="17">
        <v>84471</v>
      </c>
      <c r="HQ13" s="17">
        <v>86013</v>
      </c>
      <c r="HR13" s="17">
        <v>86013</v>
      </c>
      <c r="HS13" s="17">
        <v>86013</v>
      </c>
      <c r="HT13" s="17">
        <v>86013</v>
      </c>
      <c r="HU13" s="17">
        <v>86013</v>
      </c>
      <c r="HV13" s="17">
        <v>86013</v>
      </c>
      <c r="HW13" s="17">
        <v>86013</v>
      </c>
      <c r="HX13" s="17">
        <v>88466</v>
      </c>
      <c r="HY13" s="17">
        <v>88466</v>
      </c>
      <c r="HZ13" s="17">
        <v>88466</v>
      </c>
      <c r="IA13" s="17">
        <v>88466</v>
      </c>
      <c r="IB13" s="17">
        <v>88466</v>
      </c>
      <c r="IC13" s="17">
        <v>88466</v>
      </c>
      <c r="ID13" s="17">
        <v>88466</v>
      </c>
      <c r="IE13" s="17">
        <v>91141</v>
      </c>
      <c r="IF13" s="17">
        <v>91141</v>
      </c>
      <c r="IG13" s="17">
        <v>91141</v>
      </c>
      <c r="IH13" s="17">
        <v>91141</v>
      </c>
      <c r="II13" s="17">
        <v>91141</v>
      </c>
      <c r="IJ13" s="17">
        <v>91141</v>
      </c>
      <c r="IK13" s="17">
        <v>91141</v>
      </c>
      <c r="IL13" s="17">
        <v>94145</v>
      </c>
      <c r="IM13" s="17">
        <v>94145</v>
      </c>
      <c r="IN13" s="17">
        <v>94145</v>
      </c>
      <c r="IO13" s="17">
        <v>94145</v>
      </c>
      <c r="IP13" s="17">
        <v>94145</v>
      </c>
      <c r="IQ13" s="17">
        <v>94145</v>
      </c>
      <c r="IR13" s="17">
        <v>94145</v>
      </c>
      <c r="IS13" s="17">
        <v>95501</v>
      </c>
      <c r="IT13" s="17">
        <v>95501</v>
      </c>
      <c r="IU13" s="17">
        <v>95501</v>
      </c>
      <c r="IV13" s="17">
        <v>95501</v>
      </c>
      <c r="IW13" s="17">
        <v>95501</v>
      </c>
      <c r="IX13" s="17">
        <v>95501</v>
      </c>
      <c r="IY13" s="17">
        <v>95501</v>
      </c>
      <c r="IZ13" s="17">
        <v>96655</v>
      </c>
      <c r="JA13" s="17">
        <v>96655</v>
      </c>
      <c r="JB13" s="17">
        <v>96655</v>
      </c>
      <c r="JC13" s="17">
        <v>96655</v>
      </c>
      <c r="JD13" s="17">
        <v>96655</v>
      </c>
      <c r="JE13" s="17">
        <v>96655</v>
      </c>
      <c r="JF13" s="17">
        <v>96655</v>
      </c>
      <c r="JG13" s="17">
        <v>97838</v>
      </c>
      <c r="JH13" s="17">
        <v>97838</v>
      </c>
      <c r="JI13" s="17">
        <v>97838</v>
      </c>
      <c r="JJ13" s="17">
        <v>97838</v>
      </c>
      <c r="JK13" s="17">
        <v>97838</v>
      </c>
      <c r="JL13" s="17">
        <v>97838</v>
      </c>
      <c r="JM13" s="17">
        <v>97838</v>
      </c>
      <c r="JN13" s="17">
        <v>98999</v>
      </c>
      <c r="JO13" s="17">
        <v>98999</v>
      </c>
      <c r="JP13" s="17">
        <v>98999</v>
      </c>
      <c r="JQ13" s="17">
        <v>98999</v>
      </c>
      <c r="JR13" s="17">
        <v>98999</v>
      </c>
      <c r="JS13" s="17">
        <v>98999</v>
      </c>
      <c r="JT13" s="17">
        <v>98999</v>
      </c>
      <c r="JU13" s="17">
        <v>100234</v>
      </c>
      <c r="JV13" s="17">
        <v>100234</v>
      </c>
      <c r="JW13" s="17">
        <v>100234</v>
      </c>
      <c r="JX13" s="17">
        <v>100234</v>
      </c>
      <c r="JY13" s="17">
        <v>100234</v>
      </c>
      <c r="JZ13" s="17">
        <v>100234</v>
      </c>
      <c r="KA13" s="17">
        <v>100234</v>
      </c>
      <c r="KB13" s="17">
        <v>101604</v>
      </c>
      <c r="KC13" s="17">
        <v>101604</v>
      </c>
      <c r="KD13" s="17">
        <v>101604</v>
      </c>
      <c r="KE13" s="17">
        <v>101604</v>
      </c>
      <c r="KF13" s="17">
        <v>101604</v>
      </c>
      <c r="KG13" s="17">
        <v>101604</v>
      </c>
      <c r="KH13" s="17">
        <v>101604</v>
      </c>
      <c r="KI13" s="17">
        <v>102809</v>
      </c>
      <c r="KJ13" s="17">
        <v>102809</v>
      </c>
      <c r="KK13" s="17">
        <v>102809</v>
      </c>
      <c r="KL13" s="17">
        <v>102809</v>
      </c>
      <c r="KM13" s="17">
        <v>102809</v>
      </c>
      <c r="KN13" s="17">
        <v>102809</v>
      </c>
      <c r="KO13" s="17">
        <v>102809</v>
      </c>
      <c r="KP13" s="17">
        <v>103452</v>
      </c>
      <c r="KQ13" s="17">
        <v>103452</v>
      </c>
      <c r="KR13" s="17">
        <v>103452</v>
      </c>
      <c r="KS13" s="17">
        <v>103452</v>
      </c>
      <c r="KT13" s="17">
        <v>103452</v>
      </c>
      <c r="KU13" s="17">
        <v>103452</v>
      </c>
      <c r="KV13" s="17">
        <v>103452</v>
      </c>
      <c r="KW13" s="17">
        <v>104103</v>
      </c>
      <c r="KX13" s="17">
        <v>104103</v>
      </c>
      <c r="KY13" s="17">
        <v>104103</v>
      </c>
      <c r="KZ13" s="17">
        <v>104103</v>
      </c>
      <c r="LA13" s="17">
        <v>104103</v>
      </c>
      <c r="LB13" s="17">
        <v>104103</v>
      </c>
      <c r="LC13" s="17">
        <v>104103</v>
      </c>
      <c r="LD13" s="17">
        <v>104701</v>
      </c>
      <c r="LE13" s="17">
        <v>104701</v>
      </c>
      <c r="LF13" s="17">
        <v>104701</v>
      </c>
      <c r="LG13" s="17">
        <v>104701</v>
      </c>
      <c r="LH13" s="17">
        <v>104701</v>
      </c>
      <c r="LI13" s="17">
        <v>104701</v>
      </c>
      <c r="LJ13" s="17">
        <v>104701</v>
      </c>
      <c r="LK13" s="17">
        <v>104997</v>
      </c>
      <c r="LL13" s="17">
        <v>104997</v>
      </c>
      <c r="LM13" s="17">
        <v>104997</v>
      </c>
      <c r="LN13" s="17">
        <v>104997</v>
      </c>
      <c r="LO13" s="17">
        <v>104997</v>
      </c>
      <c r="LP13" s="17">
        <v>104997</v>
      </c>
      <c r="LQ13" s="17">
        <v>104997</v>
      </c>
      <c r="LR13" s="17">
        <v>105308</v>
      </c>
      <c r="LS13" s="17">
        <v>105308</v>
      </c>
      <c r="LT13" s="17">
        <v>105308</v>
      </c>
      <c r="LU13" s="17">
        <v>105308</v>
      </c>
      <c r="LV13" s="17">
        <v>105308</v>
      </c>
      <c r="LW13" s="17">
        <v>105308</v>
      </c>
      <c r="LX13" s="17">
        <v>105308</v>
      </c>
      <c r="LY13" s="17">
        <v>105621</v>
      </c>
      <c r="LZ13" s="17">
        <v>105621</v>
      </c>
      <c r="MA13" s="17">
        <v>105621</v>
      </c>
      <c r="MB13" s="17">
        <v>105621</v>
      </c>
      <c r="MC13" s="17">
        <v>105621</v>
      </c>
      <c r="MD13" s="17">
        <v>105621</v>
      </c>
      <c r="ME13" s="17">
        <v>105621</v>
      </c>
      <c r="MF13" s="17">
        <v>106247</v>
      </c>
      <c r="MG13" s="17">
        <v>106247</v>
      </c>
      <c r="MH13" s="17">
        <v>106247</v>
      </c>
      <c r="MI13" s="17">
        <v>106247</v>
      </c>
      <c r="MJ13" s="17">
        <v>106247</v>
      </c>
      <c r="MK13" s="17">
        <v>106247</v>
      </c>
      <c r="ML13" s="17">
        <v>106247</v>
      </c>
      <c r="MM13" s="17">
        <v>106825</v>
      </c>
      <c r="MN13" s="17">
        <v>106825</v>
      </c>
      <c r="MO13" s="17">
        <v>106825</v>
      </c>
      <c r="MP13" s="17">
        <v>106825</v>
      </c>
      <c r="MQ13" s="17">
        <v>106825</v>
      </c>
      <c r="MR13" s="17">
        <v>106825</v>
      </c>
      <c r="MS13" s="17">
        <v>106825</v>
      </c>
      <c r="MT13" s="17">
        <v>107096</v>
      </c>
      <c r="MU13" s="17">
        <v>107096</v>
      </c>
      <c r="MV13" s="17">
        <v>107096</v>
      </c>
      <c r="MW13" s="17">
        <v>107096</v>
      </c>
      <c r="MX13" s="17">
        <v>107096</v>
      </c>
      <c r="MY13" s="17">
        <v>107096</v>
      </c>
      <c r="MZ13" s="17">
        <v>107096</v>
      </c>
      <c r="NA13" s="17">
        <v>107393</v>
      </c>
      <c r="NB13" s="17">
        <v>107393</v>
      </c>
      <c r="NC13" s="17">
        <v>107393</v>
      </c>
      <c r="ND13" s="17">
        <v>107393</v>
      </c>
      <c r="NE13" s="17">
        <v>107393</v>
      </c>
      <c r="NF13" s="17">
        <v>107393</v>
      </c>
      <c r="NG13" s="17">
        <v>107393</v>
      </c>
      <c r="NH13" s="17">
        <v>107694</v>
      </c>
      <c r="NI13" s="17">
        <v>107694</v>
      </c>
      <c r="NJ13" s="17">
        <v>107694</v>
      </c>
      <c r="NK13" s="17">
        <v>107694</v>
      </c>
      <c r="NL13" s="17">
        <v>107694</v>
      </c>
      <c r="NM13" s="17">
        <v>107694</v>
      </c>
      <c r="NN13" s="17">
        <v>107694</v>
      </c>
      <c r="NO13" s="17">
        <v>108324</v>
      </c>
      <c r="NP13" s="17">
        <v>108324</v>
      </c>
      <c r="NQ13" s="17">
        <v>108324</v>
      </c>
      <c r="NR13" s="17">
        <v>108324</v>
      </c>
      <c r="NS13" s="17">
        <v>108324</v>
      </c>
      <c r="NT13" s="17">
        <v>108324</v>
      </c>
      <c r="NU13" s="17">
        <v>108324</v>
      </c>
      <c r="NV13" s="17">
        <v>108961</v>
      </c>
      <c r="NW13" s="17">
        <v>108961</v>
      </c>
      <c r="NX13" s="17">
        <v>108961</v>
      </c>
      <c r="NY13" s="17">
        <v>108961</v>
      </c>
      <c r="NZ13" s="17">
        <v>108961</v>
      </c>
      <c r="OA13" s="17">
        <v>108961</v>
      </c>
      <c r="OB13" s="17">
        <v>108961</v>
      </c>
      <c r="OC13" s="17">
        <v>109253</v>
      </c>
      <c r="OD13" s="17">
        <v>109253</v>
      </c>
      <c r="OE13" s="17">
        <v>109253</v>
      </c>
      <c r="OF13" s="17">
        <v>109253</v>
      </c>
      <c r="OG13" s="17">
        <v>109253</v>
      </c>
      <c r="OH13" s="17">
        <v>109253</v>
      </c>
      <c r="OI13" s="17">
        <v>109253</v>
      </c>
      <c r="OJ13" s="17">
        <v>109585</v>
      </c>
      <c r="OK13" s="17">
        <v>109585</v>
      </c>
      <c r="OL13" s="17">
        <v>109585</v>
      </c>
      <c r="OM13" s="17">
        <v>109585</v>
      </c>
      <c r="ON13" s="17">
        <v>109585</v>
      </c>
      <c r="OO13" s="17">
        <v>109585</v>
      </c>
      <c r="OP13" s="17">
        <v>109585</v>
      </c>
      <c r="OQ13" s="17">
        <v>109927</v>
      </c>
      <c r="OR13" s="17">
        <v>109927</v>
      </c>
      <c r="OS13" s="17">
        <v>109927</v>
      </c>
      <c r="OT13" s="17">
        <v>109927</v>
      </c>
      <c r="OU13" s="17">
        <v>109927</v>
      </c>
      <c r="OV13" s="17">
        <v>109927</v>
      </c>
      <c r="OW13" s="17">
        <v>109927</v>
      </c>
      <c r="OX13" s="17">
        <v>110269</v>
      </c>
      <c r="OY13" s="17">
        <v>110269</v>
      </c>
      <c r="OZ13" s="17">
        <v>110269</v>
      </c>
      <c r="PA13" s="17">
        <v>110269</v>
      </c>
      <c r="PB13" s="17">
        <v>110269</v>
      </c>
      <c r="PC13" s="17">
        <v>110269</v>
      </c>
      <c r="PD13" s="17">
        <v>110269</v>
      </c>
      <c r="PE13" s="17">
        <v>110611</v>
      </c>
      <c r="PF13" s="17">
        <v>110611</v>
      </c>
      <c r="PG13" s="17">
        <v>110611</v>
      </c>
      <c r="PH13" s="17">
        <v>110611</v>
      </c>
      <c r="PI13" s="17">
        <v>110611</v>
      </c>
      <c r="PJ13" s="17">
        <v>110611</v>
      </c>
      <c r="PK13" s="17">
        <v>110611</v>
      </c>
      <c r="PL13" s="17">
        <v>110611</v>
      </c>
    </row>
    <row r="14" spans="1:428" s="12" customFormat="1" outlineLevel="1">
      <c r="A14" s="20" t="s">
        <v>19</v>
      </c>
      <c r="B14" s="12" t="s">
        <v>38</v>
      </c>
      <c r="C14" s="12" t="str">
        <f t="shared" si="21"/>
        <v>LensBoldWOODLAND HAVANA</v>
      </c>
      <c r="D14" s="12" t="s">
        <v>36</v>
      </c>
      <c r="E14" s="16" t="s">
        <v>14</v>
      </c>
      <c r="F14" s="13" t="s">
        <v>6</v>
      </c>
      <c r="G14" s="13" t="s">
        <v>7</v>
      </c>
      <c r="H14" s="14">
        <v>318003500481</v>
      </c>
      <c r="I14" s="13"/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0</v>
      </c>
      <c r="CR14" s="17">
        <v>0</v>
      </c>
      <c r="CS14" s="17">
        <v>0</v>
      </c>
      <c r="CT14" s="17">
        <v>0</v>
      </c>
      <c r="CU14" s="17">
        <v>0</v>
      </c>
      <c r="CV14" s="17">
        <v>0</v>
      </c>
      <c r="CW14" s="17">
        <v>0</v>
      </c>
      <c r="CX14" s="17">
        <v>0</v>
      </c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>
        <v>0</v>
      </c>
      <c r="DF14" s="17">
        <v>0</v>
      </c>
      <c r="DG14" s="17">
        <v>0</v>
      </c>
      <c r="DH14" s="17">
        <v>0</v>
      </c>
      <c r="DI14" s="17">
        <v>0</v>
      </c>
      <c r="DJ14" s="17">
        <v>0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724</v>
      </c>
      <c r="DQ14" s="17">
        <v>1270</v>
      </c>
      <c r="DR14" s="17">
        <v>1423</v>
      </c>
      <c r="DS14" s="17">
        <v>1423</v>
      </c>
      <c r="DT14" s="17">
        <v>2162</v>
      </c>
      <c r="DU14" s="17">
        <v>2239</v>
      </c>
      <c r="DV14" s="17">
        <v>2239</v>
      </c>
      <c r="DW14" s="17">
        <v>2239</v>
      </c>
      <c r="DX14" s="17">
        <v>2239</v>
      </c>
      <c r="DY14" s="17">
        <v>2746</v>
      </c>
      <c r="DZ14" s="17">
        <v>2746</v>
      </c>
      <c r="EA14" s="17">
        <v>2746</v>
      </c>
      <c r="EB14" s="17">
        <v>2746</v>
      </c>
      <c r="EC14" s="17">
        <v>2746</v>
      </c>
      <c r="ED14" s="17">
        <v>2746</v>
      </c>
      <c r="EE14" s="17">
        <v>3494</v>
      </c>
      <c r="EF14" s="17">
        <v>3494</v>
      </c>
      <c r="EG14" s="17">
        <v>4732</v>
      </c>
      <c r="EH14" s="17">
        <v>4732</v>
      </c>
      <c r="EI14" s="17">
        <v>4910</v>
      </c>
      <c r="EJ14" s="17">
        <v>5429</v>
      </c>
      <c r="EK14" s="17">
        <v>5639</v>
      </c>
      <c r="EL14" s="17">
        <v>5849</v>
      </c>
      <c r="EM14" s="17">
        <v>5849</v>
      </c>
      <c r="EN14" s="17">
        <v>5849</v>
      </c>
      <c r="EO14" s="17">
        <v>5954</v>
      </c>
      <c r="EP14" s="17">
        <v>5954</v>
      </c>
      <c r="EQ14" s="17">
        <v>5954</v>
      </c>
      <c r="ER14" s="17">
        <v>5954</v>
      </c>
      <c r="ES14" s="17">
        <v>0</v>
      </c>
      <c r="ET14" s="17">
        <v>0</v>
      </c>
      <c r="EU14" s="17">
        <v>0</v>
      </c>
      <c r="EV14" s="17">
        <v>0</v>
      </c>
      <c r="EW14" s="17">
        <v>0</v>
      </c>
      <c r="EX14" s="17">
        <v>0</v>
      </c>
      <c r="EY14" s="17">
        <v>3824</v>
      </c>
      <c r="EZ14" s="17">
        <v>3824</v>
      </c>
      <c r="FA14" s="17">
        <v>3824</v>
      </c>
      <c r="FB14" s="17">
        <v>3824</v>
      </c>
      <c r="FC14" s="17">
        <v>3824</v>
      </c>
      <c r="FD14" s="17">
        <v>3824</v>
      </c>
      <c r="FE14" s="17">
        <v>3824</v>
      </c>
      <c r="FF14" s="17">
        <v>12255</v>
      </c>
      <c r="FG14" s="17">
        <v>12255</v>
      </c>
      <c r="FH14" s="17">
        <v>12255</v>
      </c>
      <c r="FI14" s="17">
        <v>12255</v>
      </c>
      <c r="FJ14" s="17">
        <v>12255</v>
      </c>
      <c r="FK14" s="17">
        <v>12255</v>
      </c>
      <c r="FL14" s="17">
        <v>12255</v>
      </c>
      <c r="FM14" s="17">
        <v>12755</v>
      </c>
      <c r="FN14" s="17">
        <v>13255</v>
      </c>
      <c r="FO14" s="17">
        <v>13255</v>
      </c>
      <c r="FP14" s="17">
        <v>13255</v>
      </c>
      <c r="FQ14" s="17">
        <v>13255</v>
      </c>
      <c r="FR14" s="17">
        <v>13255</v>
      </c>
      <c r="FS14" s="17">
        <v>13755</v>
      </c>
      <c r="FT14" s="17">
        <v>13755</v>
      </c>
      <c r="FU14" s="17">
        <v>14255</v>
      </c>
      <c r="FV14" s="17">
        <v>14255</v>
      </c>
      <c r="FW14" s="17">
        <v>15055</v>
      </c>
      <c r="FX14" s="17">
        <v>15855</v>
      </c>
      <c r="FY14" s="17">
        <v>16655</v>
      </c>
      <c r="FZ14" s="17">
        <v>17455</v>
      </c>
      <c r="GA14" s="17">
        <v>18255</v>
      </c>
      <c r="GB14" s="17">
        <v>19055</v>
      </c>
      <c r="GC14" s="17">
        <v>19055</v>
      </c>
      <c r="GD14" s="17">
        <v>19298</v>
      </c>
      <c r="GE14" s="17">
        <v>19298</v>
      </c>
      <c r="GF14" s="17">
        <v>19298</v>
      </c>
      <c r="GG14" s="17">
        <v>19298</v>
      </c>
      <c r="GH14" s="17">
        <v>20611</v>
      </c>
      <c r="GI14" s="17">
        <v>20611</v>
      </c>
      <c r="GJ14" s="17">
        <v>20611</v>
      </c>
      <c r="GK14" s="17">
        <v>20611</v>
      </c>
      <c r="GL14" s="17">
        <v>20611</v>
      </c>
      <c r="GM14" s="17">
        <v>20611</v>
      </c>
      <c r="GN14" s="17">
        <v>20611</v>
      </c>
      <c r="GO14" s="17">
        <v>20611</v>
      </c>
      <c r="GP14" s="17">
        <v>20611</v>
      </c>
      <c r="GQ14" s="17">
        <v>20611</v>
      </c>
      <c r="GR14" s="17">
        <v>20611</v>
      </c>
      <c r="GS14" s="17">
        <v>20611</v>
      </c>
      <c r="GT14" s="17">
        <v>20611</v>
      </c>
      <c r="GU14" s="17">
        <v>21965</v>
      </c>
      <c r="GV14" s="17">
        <v>23412</v>
      </c>
      <c r="GW14" s="17">
        <v>23412</v>
      </c>
      <c r="GX14" s="17">
        <v>23412</v>
      </c>
      <c r="GY14" s="17">
        <v>23412</v>
      </c>
      <c r="GZ14" s="17">
        <v>23412</v>
      </c>
      <c r="HA14" s="17">
        <v>23412</v>
      </c>
      <c r="HB14" s="17">
        <v>23412</v>
      </c>
      <c r="HC14" s="17">
        <v>24174</v>
      </c>
      <c r="HD14" s="17">
        <v>24174</v>
      </c>
      <c r="HE14" s="17">
        <v>24174</v>
      </c>
      <c r="HF14" s="17">
        <v>24174</v>
      </c>
      <c r="HG14" s="17">
        <v>24174</v>
      </c>
      <c r="HH14" s="17">
        <v>24174</v>
      </c>
      <c r="HI14" s="17">
        <v>24174</v>
      </c>
      <c r="HJ14" s="17">
        <v>25101</v>
      </c>
      <c r="HK14" s="17">
        <v>25101</v>
      </c>
      <c r="HL14" s="17">
        <v>25101</v>
      </c>
      <c r="HM14" s="17">
        <v>25101</v>
      </c>
      <c r="HN14" s="17">
        <v>25101</v>
      </c>
      <c r="HO14" s="17">
        <v>25101</v>
      </c>
      <c r="HP14" s="17">
        <v>25101</v>
      </c>
      <c r="HQ14" s="17">
        <v>26067</v>
      </c>
      <c r="HR14" s="17">
        <v>26067</v>
      </c>
      <c r="HS14" s="17">
        <v>26067</v>
      </c>
      <c r="HT14" s="17">
        <v>26067</v>
      </c>
      <c r="HU14" s="17">
        <v>26067</v>
      </c>
      <c r="HV14" s="17">
        <v>26067</v>
      </c>
      <c r="HW14" s="17">
        <v>26067</v>
      </c>
      <c r="HX14" s="17">
        <v>27395</v>
      </c>
      <c r="HY14" s="17">
        <v>27395</v>
      </c>
      <c r="HZ14" s="17">
        <v>27395</v>
      </c>
      <c r="IA14" s="17">
        <v>27395</v>
      </c>
      <c r="IB14" s="17">
        <v>27395</v>
      </c>
      <c r="IC14" s="17">
        <v>27395</v>
      </c>
      <c r="ID14" s="17">
        <v>27395</v>
      </c>
      <c r="IE14" s="17">
        <v>28795</v>
      </c>
      <c r="IF14" s="17">
        <v>28795</v>
      </c>
      <c r="IG14" s="17">
        <v>28795</v>
      </c>
      <c r="IH14" s="17">
        <v>28795</v>
      </c>
      <c r="II14" s="17">
        <v>28795</v>
      </c>
      <c r="IJ14" s="17">
        <v>28795</v>
      </c>
      <c r="IK14" s="17">
        <v>28795</v>
      </c>
      <c r="IL14" s="17">
        <v>30538</v>
      </c>
      <c r="IM14" s="17">
        <v>30538</v>
      </c>
      <c r="IN14" s="17">
        <v>30538</v>
      </c>
      <c r="IO14" s="17">
        <v>30538</v>
      </c>
      <c r="IP14" s="17">
        <v>30538</v>
      </c>
      <c r="IQ14" s="17">
        <v>30538</v>
      </c>
      <c r="IR14" s="17">
        <v>30538</v>
      </c>
      <c r="IS14" s="17">
        <v>31303</v>
      </c>
      <c r="IT14" s="17">
        <v>31303</v>
      </c>
      <c r="IU14" s="17">
        <v>31303</v>
      </c>
      <c r="IV14" s="17">
        <v>31303</v>
      </c>
      <c r="IW14" s="17">
        <v>31303</v>
      </c>
      <c r="IX14" s="17">
        <v>31303</v>
      </c>
      <c r="IY14" s="17">
        <v>31303</v>
      </c>
      <c r="IZ14" s="17">
        <v>31926</v>
      </c>
      <c r="JA14" s="17">
        <v>31926</v>
      </c>
      <c r="JB14" s="17">
        <v>31926</v>
      </c>
      <c r="JC14" s="17">
        <v>31926</v>
      </c>
      <c r="JD14" s="17">
        <v>31926</v>
      </c>
      <c r="JE14" s="17">
        <v>31926</v>
      </c>
      <c r="JF14" s="17">
        <v>31926</v>
      </c>
      <c r="JG14" s="17">
        <v>32469</v>
      </c>
      <c r="JH14" s="17">
        <v>32469</v>
      </c>
      <c r="JI14" s="17">
        <v>32469</v>
      </c>
      <c r="JJ14" s="17">
        <v>32469</v>
      </c>
      <c r="JK14" s="17">
        <v>32469</v>
      </c>
      <c r="JL14" s="17">
        <v>32469</v>
      </c>
      <c r="JM14" s="17">
        <v>32469</v>
      </c>
      <c r="JN14" s="17">
        <v>33038</v>
      </c>
      <c r="JO14" s="17">
        <v>33038</v>
      </c>
      <c r="JP14" s="17">
        <v>33038</v>
      </c>
      <c r="JQ14" s="17">
        <v>33038</v>
      </c>
      <c r="JR14" s="17">
        <v>33038</v>
      </c>
      <c r="JS14" s="17">
        <v>33038</v>
      </c>
      <c r="JT14" s="17">
        <v>33038</v>
      </c>
      <c r="JU14" s="17">
        <v>33625</v>
      </c>
      <c r="JV14" s="17">
        <v>33625</v>
      </c>
      <c r="JW14" s="17">
        <v>33625</v>
      </c>
      <c r="JX14" s="17">
        <v>33625</v>
      </c>
      <c r="JY14" s="17">
        <v>33625</v>
      </c>
      <c r="JZ14" s="17">
        <v>33625</v>
      </c>
      <c r="KA14" s="17">
        <v>33625</v>
      </c>
      <c r="KB14" s="17">
        <v>34237</v>
      </c>
      <c r="KC14" s="17">
        <v>34237</v>
      </c>
      <c r="KD14" s="17">
        <v>34237</v>
      </c>
      <c r="KE14" s="17">
        <v>34237</v>
      </c>
      <c r="KF14" s="17">
        <v>34237</v>
      </c>
      <c r="KG14" s="17">
        <v>34237</v>
      </c>
      <c r="KH14" s="17">
        <v>34237</v>
      </c>
      <c r="KI14" s="17">
        <v>34977</v>
      </c>
      <c r="KJ14" s="17">
        <v>34977</v>
      </c>
      <c r="KK14" s="17">
        <v>34977</v>
      </c>
      <c r="KL14" s="17">
        <v>34977</v>
      </c>
      <c r="KM14" s="17">
        <v>34977</v>
      </c>
      <c r="KN14" s="17">
        <v>34977</v>
      </c>
      <c r="KO14" s="17">
        <v>34977</v>
      </c>
      <c r="KP14" s="17">
        <v>35360</v>
      </c>
      <c r="KQ14" s="17">
        <v>35360</v>
      </c>
      <c r="KR14" s="17">
        <v>35360</v>
      </c>
      <c r="KS14" s="17">
        <v>35360</v>
      </c>
      <c r="KT14" s="17">
        <v>35360</v>
      </c>
      <c r="KU14" s="17">
        <v>35360</v>
      </c>
      <c r="KV14" s="17">
        <v>35360</v>
      </c>
      <c r="KW14" s="17">
        <v>35778</v>
      </c>
      <c r="KX14" s="17">
        <v>35778</v>
      </c>
      <c r="KY14" s="17">
        <v>35778</v>
      </c>
      <c r="KZ14" s="17">
        <v>35778</v>
      </c>
      <c r="LA14" s="17">
        <v>35778</v>
      </c>
      <c r="LB14" s="17">
        <v>35778</v>
      </c>
      <c r="LC14" s="17">
        <v>35778</v>
      </c>
      <c r="LD14" s="17">
        <v>36190</v>
      </c>
      <c r="LE14" s="17">
        <v>36190</v>
      </c>
      <c r="LF14" s="17">
        <v>36190</v>
      </c>
      <c r="LG14" s="17">
        <v>36190</v>
      </c>
      <c r="LH14" s="17">
        <v>36190</v>
      </c>
      <c r="LI14" s="17">
        <v>36190</v>
      </c>
      <c r="LJ14" s="17">
        <v>36190</v>
      </c>
      <c r="LK14" s="17">
        <v>36388</v>
      </c>
      <c r="LL14" s="17">
        <v>36388</v>
      </c>
      <c r="LM14" s="17">
        <v>36388</v>
      </c>
      <c r="LN14" s="17">
        <v>36388</v>
      </c>
      <c r="LO14" s="17">
        <v>36388</v>
      </c>
      <c r="LP14" s="17">
        <v>36388</v>
      </c>
      <c r="LQ14" s="17">
        <v>36388</v>
      </c>
      <c r="LR14" s="17">
        <v>36555</v>
      </c>
      <c r="LS14" s="17">
        <v>36555</v>
      </c>
      <c r="LT14" s="17">
        <v>36555</v>
      </c>
      <c r="LU14" s="17">
        <v>36555</v>
      </c>
      <c r="LV14" s="17">
        <v>36555</v>
      </c>
      <c r="LW14" s="17">
        <v>36555</v>
      </c>
      <c r="LX14" s="17">
        <v>36555</v>
      </c>
      <c r="LY14" s="17">
        <v>36555</v>
      </c>
      <c r="LZ14" s="17">
        <v>36555</v>
      </c>
      <c r="MA14" s="17">
        <v>36555</v>
      </c>
      <c r="MB14" s="17">
        <v>36555</v>
      </c>
      <c r="MC14" s="17">
        <v>36555</v>
      </c>
      <c r="MD14" s="17">
        <v>36803</v>
      </c>
      <c r="ME14" s="17">
        <v>36803</v>
      </c>
      <c r="MF14" s="17">
        <v>37228</v>
      </c>
      <c r="MG14" s="17">
        <v>37228</v>
      </c>
      <c r="MH14" s="17">
        <v>37228</v>
      </c>
      <c r="MI14" s="17">
        <v>37228</v>
      </c>
      <c r="MJ14" s="17">
        <v>37228</v>
      </c>
      <c r="MK14" s="17">
        <v>37228</v>
      </c>
      <c r="ML14" s="17">
        <v>37228</v>
      </c>
      <c r="MM14" s="17">
        <v>37623</v>
      </c>
      <c r="MN14" s="17">
        <v>37623</v>
      </c>
      <c r="MO14" s="17">
        <v>37623</v>
      </c>
      <c r="MP14" s="17">
        <v>37623</v>
      </c>
      <c r="MQ14" s="17">
        <v>37623</v>
      </c>
      <c r="MR14" s="17">
        <v>37623</v>
      </c>
      <c r="MS14" s="17">
        <v>37623</v>
      </c>
      <c r="MT14" s="17">
        <v>37815</v>
      </c>
      <c r="MU14" s="17">
        <v>37815</v>
      </c>
      <c r="MV14" s="17">
        <v>37815</v>
      </c>
      <c r="MW14" s="17">
        <v>37815</v>
      </c>
      <c r="MX14" s="17">
        <v>37815</v>
      </c>
      <c r="MY14" s="17">
        <v>37815</v>
      </c>
      <c r="MZ14" s="17">
        <v>37815</v>
      </c>
      <c r="NA14" s="17">
        <v>38030</v>
      </c>
      <c r="NB14" s="17">
        <v>38030</v>
      </c>
      <c r="NC14" s="17">
        <v>38030</v>
      </c>
      <c r="ND14" s="17">
        <v>38030</v>
      </c>
      <c r="NE14" s="17">
        <v>38030</v>
      </c>
      <c r="NF14" s="17">
        <v>38030</v>
      </c>
      <c r="NG14" s="17">
        <v>38030</v>
      </c>
      <c r="NH14" s="17">
        <v>38240</v>
      </c>
      <c r="NI14" s="17">
        <v>38240</v>
      </c>
      <c r="NJ14" s="17">
        <v>38240</v>
      </c>
      <c r="NK14" s="17">
        <v>38240</v>
      </c>
      <c r="NL14" s="17">
        <v>38240</v>
      </c>
      <c r="NM14" s="17">
        <v>38240</v>
      </c>
      <c r="NN14" s="17">
        <v>38240</v>
      </c>
      <c r="NO14" s="17">
        <v>38639</v>
      </c>
      <c r="NP14" s="17">
        <v>38639</v>
      </c>
      <c r="NQ14" s="17">
        <v>38639</v>
      </c>
      <c r="NR14" s="17">
        <v>38639</v>
      </c>
      <c r="NS14" s="17">
        <v>38639</v>
      </c>
      <c r="NT14" s="17">
        <v>38639</v>
      </c>
      <c r="NU14" s="17">
        <v>38639</v>
      </c>
      <c r="NV14" s="17">
        <v>39033</v>
      </c>
      <c r="NW14" s="17">
        <v>39033</v>
      </c>
      <c r="NX14" s="17">
        <v>39033</v>
      </c>
      <c r="NY14" s="17">
        <v>39033</v>
      </c>
      <c r="NZ14" s="17">
        <v>39033</v>
      </c>
      <c r="OA14" s="17">
        <v>39033</v>
      </c>
      <c r="OB14" s="17">
        <v>39033</v>
      </c>
      <c r="OC14" s="17">
        <v>39232</v>
      </c>
      <c r="OD14" s="17">
        <v>39232</v>
      </c>
      <c r="OE14" s="17">
        <v>39232</v>
      </c>
      <c r="OF14" s="17">
        <v>39232</v>
      </c>
      <c r="OG14" s="17">
        <v>39232</v>
      </c>
      <c r="OH14" s="17">
        <v>39232</v>
      </c>
      <c r="OI14" s="17">
        <v>39232</v>
      </c>
      <c r="OJ14" s="17">
        <v>39370</v>
      </c>
      <c r="OK14" s="17">
        <v>39370</v>
      </c>
      <c r="OL14" s="17">
        <v>39370</v>
      </c>
      <c r="OM14" s="17">
        <v>39370</v>
      </c>
      <c r="ON14" s="17">
        <v>39370</v>
      </c>
      <c r="OO14" s="17">
        <v>39370</v>
      </c>
      <c r="OP14" s="17">
        <v>39370</v>
      </c>
      <c r="OQ14" s="17">
        <v>39493</v>
      </c>
      <c r="OR14" s="17">
        <v>39493</v>
      </c>
      <c r="OS14" s="17">
        <v>39493</v>
      </c>
      <c r="OT14" s="17">
        <v>39493</v>
      </c>
      <c r="OU14" s="17">
        <v>39493</v>
      </c>
      <c r="OV14" s="17">
        <v>39493</v>
      </c>
      <c r="OW14" s="17">
        <v>39493</v>
      </c>
      <c r="OX14" s="17">
        <v>39616</v>
      </c>
      <c r="OY14" s="17">
        <v>39616</v>
      </c>
      <c r="OZ14" s="17">
        <v>39616</v>
      </c>
      <c r="PA14" s="17">
        <v>39616</v>
      </c>
      <c r="PB14" s="17">
        <v>39616</v>
      </c>
      <c r="PC14" s="17">
        <v>39616</v>
      </c>
      <c r="PD14" s="17">
        <v>39616</v>
      </c>
      <c r="PE14" s="17">
        <v>39739</v>
      </c>
      <c r="PF14" s="17">
        <v>39739</v>
      </c>
      <c r="PG14" s="17">
        <v>39739</v>
      </c>
      <c r="PH14" s="17">
        <v>39739</v>
      </c>
      <c r="PI14" s="17">
        <v>39739</v>
      </c>
      <c r="PJ14" s="17">
        <v>39739</v>
      </c>
      <c r="PK14" s="17">
        <v>39739</v>
      </c>
      <c r="PL14" s="17">
        <v>39739</v>
      </c>
    </row>
    <row r="15" spans="1:428" s="12" customFormat="1" outlineLevel="1">
      <c r="A15" s="20" t="s">
        <v>19</v>
      </c>
      <c r="B15" s="12" t="s">
        <v>21</v>
      </c>
      <c r="C15" s="12" t="str">
        <f t="shared" si="21"/>
        <v>LensBoldRACING GREEN</v>
      </c>
      <c r="D15" s="12" t="s">
        <v>36</v>
      </c>
      <c r="E15" s="16" t="s">
        <v>14</v>
      </c>
      <c r="F15" s="13" t="s">
        <v>6</v>
      </c>
      <c r="G15" s="13" t="s">
        <v>8</v>
      </c>
      <c r="H15" s="14">
        <v>318003500481</v>
      </c>
      <c r="I15" s="13"/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213</v>
      </c>
      <c r="CB15" s="17">
        <v>213</v>
      </c>
      <c r="CC15" s="17">
        <v>937</v>
      </c>
      <c r="CD15" s="17">
        <v>937</v>
      </c>
      <c r="CE15" s="17">
        <v>937</v>
      </c>
      <c r="CF15" s="17">
        <v>937</v>
      </c>
      <c r="CG15" s="17">
        <v>1049</v>
      </c>
      <c r="CH15" s="17">
        <v>1049</v>
      </c>
      <c r="CI15" s="17">
        <v>1067</v>
      </c>
      <c r="CJ15" s="17">
        <v>1074</v>
      </c>
      <c r="CK15" s="17">
        <v>1074</v>
      </c>
      <c r="CL15" s="17">
        <v>1074</v>
      </c>
      <c r="CM15" s="17">
        <v>0</v>
      </c>
      <c r="CN15" s="17">
        <v>0</v>
      </c>
      <c r="CO15" s="17">
        <v>0</v>
      </c>
      <c r="CP15" s="17">
        <v>200</v>
      </c>
      <c r="CQ15" s="17">
        <v>0</v>
      </c>
      <c r="CR15" s="17">
        <v>0</v>
      </c>
      <c r="CS15" s="17">
        <v>0</v>
      </c>
      <c r="CT15" s="17">
        <v>0</v>
      </c>
      <c r="CU15" s="17">
        <v>1248</v>
      </c>
      <c r="CV15" s="17">
        <v>1248</v>
      </c>
      <c r="CW15" s="17">
        <v>2496</v>
      </c>
      <c r="CX15" s="17">
        <v>4482</v>
      </c>
      <c r="CY15" s="17">
        <v>4482</v>
      </c>
      <c r="CZ15" s="17">
        <v>4482</v>
      </c>
      <c r="DA15" s="17">
        <v>4482</v>
      </c>
      <c r="DB15" s="17">
        <v>5183</v>
      </c>
      <c r="DC15" s="17">
        <v>6438</v>
      </c>
      <c r="DD15" s="17">
        <v>6438</v>
      </c>
      <c r="DE15" s="17">
        <v>6438</v>
      </c>
      <c r="DF15" s="17">
        <v>6924</v>
      </c>
      <c r="DG15" s="17">
        <v>7980</v>
      </c>
      <c r="DH15" s="17">
        <v>8948</v>
      </c>
      <c r="DI15" s="17">
        <v>10004</v>
      </c>
      <c r="DJ15" s="17">
        <v>11636</v>
      </c>
      <c r="DK15" s="17">
        <v>11636</v>
      </c>
      <c r="DL15" s="17">
        <v>15086</v>
      </c>
      <c r="DM15" s="17">
        <v>17209</v>
      </c>
      <c r="DN15" s="17">
        <v>20089</v>
      </c>
      <c r="DO15" s="17">
        <v>22969</v>
      </c>
      <c r="DP15" s="17">
        <v>24793</v>
      </c>
      <c r="DQ15" s="17">
        <v>32761</v>
      </c>
      <c r="DR15" s="17">
        <v>42457</v>
      </c>
      <c r="DS15" s="17">
        <v>47098</v>
      </c>
      <c r="DT15" s="17">
        <v>53242</v>
      </c>
      <c r="DU15" s="17">
        <v>49895</v>
      </c>
      <c r="DV15" s="17">
        <v>49895</v>
      </c>
      <c r="DW15" s="17">
        <v>51168</v>
      </c>
      <c r="DX15" s="17">
        <v>51168</v>
      </c>
      <c r="DY15" s="17">
        <v>51168</v>
      </c>
      <c r="DZ15" s="17">
        <v>51168</v>
      </c>
      <c r="EA15" s="17">
        <v>51168</v>
      </c>
      <c r="EB15" s="17">
        <v>51168</v>
      </c>
      <c r="EC15" s="17">
        <v>51168</v>
      </c>
      <c r="ED15" s="17">
        <v>52441</v>
      </c>
      <c r="EE15" s="17">
        <v>52441</v>
      </c>
      <c r="EF15" s="17">
        <v>52441</v>
      </c>
      <c r="EG15" s="17">
        <v>52441</v>
      </c>
      <c r="EH15" s="17">
        <v>52441</v>
      </c>
      <c r="EI15" s="17">
        <v>52441</v>
      </c>
      <c r="EJ15" s="17">
        <v>52441</v>
      </c>
      <c r="EK15" s="17">
        <v>53714</v>
      </c>
      <c r="EL15" s="17">
        <v>53714</v>
      </c>
      <c r="EM15" s="17">
        <v>53714</v>
      </c>
      <c r="EN15" s="17">
        <v>53714</v>
      </c>
      <c r="EO15" s="17">
        <v>53714</v>
      </c>
      <c r="EP15" s="17">
        <v>53714</v>
      </c>
      <c r="EQ15" s="17">
        <v>53714</v>
      </c>
      <c r="ER15" s="17">
        <v>56350</v>
      </c>
      <c r="ES15" s="17">
        <v>0</v>
      </c>
      <c r="ET15" s="17">
        <v>0</v>
      </c>
      <c r="EU15" s="17">
        <v>0</v>
      </c>
      <c r="EV15" s="17">
        <v>0</v>
      </c>
      <c r="EW15" s="17">
        <v>0</v>
      </c>
      <c r="EX15" s="17">
        <v>0</v>
      </c>
      <c r="EY15" s="17">
        <v>56376</v>
      </c>
      <c r="EZ15" s="17">
        <v>56376</v>
      </c>
      <c r="FA15" s="17">
        <v>56376</v>
      </c>
      <c r="FB15" s="17">
        <v>56376</v>
      </c>
      <c r="FC15" s="17">
        <v>56376</v>
      </c>
      <c r="FD15" s="17">
        <v>56376</v>
      </c>
      <c r="FE15" s="17">
        <v>56376</v>
      </c>
      <c r="FF15" s="17">
        <v>71987</v>
      </c>
      <c r="FG15" s="17">
        <v>71987</v>
      </c>
      <c r="FH15" s="17">
        <v>71987</v>
      </c>
      <c r="FI15" s="17">
        <v>71987</v>
      </c>
      <c r="FJ15" s="17">
        <v>71987</v>
      </c>
      <c r="FK15" s="17">
        <v>71987</v>
      </c>
      <c r="FL15" s="17">
        <v>71987</v>
      </c>
      <c r="FM15" s="17">
        <v>79613</v>
      </c>
      <c r="FN15" s="17">
        <v>79613</v>
      </c>
      <c r="FO15" s="17">
        <v>79613</v>
      </c>
      <c r="FP15" s="17">
        <v>79613</v>
      </c>
      <c r="FQ15" s="17">
        <v>79613</v>
      </c>
      <c r="FR15" s="17">
        <v>79613</v>
      </c>
      <c r="FS15" s="17">
        <v>79613</v>
      </c>
      <c r="FT15" s="17">
        <v>82992</v>
      </c>
      <c r="FU15" s="17">
        <v>82992</v>
      </c>
      <c r="FV15" s="17">
        <v>82992</v>
      </c>
      <c r="FW15" s="17">
        <v>82992</v>
      </c>
      <c r="FX15" s="17">
        <v>82992</v>
      </c>
      <c r="FY15" s="17">
        <v>82992</v>
      </c>
      <c r="FZ15" s="17">
        <v>82992</v>
      </c>
      <c r="GA15" s="17">
        <v>82992</v>
      </c>
      <c r="GB15" s="17">
        <v>82992</v>
      </c>
      <c r="GC15" s="17">
        <v>88179</v>
      </c>
      <c r="GD15" s="17">
        <v>88179</v>
      </c>
      <c r="GE15" s="17">
        <v>88179</v>
      </c>
      <c r="GF15" s="17">
        <v>88179</v>
      </c>
      <c r="GG15" s="17">
        <v>88179</v>
      </c>
      <c r="GH15" s="17">
        <v>92288</v>
      </c>
      <c r="GI15" s="17">
        <v>92288</v>
      </c>
      <c r="GJ15" s="17">
        <v>92288</v>
      </c>
      <c r="GK15" s="17">
        <v>92288</v>
      </c>
      <c r="GL15" s="17">
        <v>92288</v>
      </c>
      <c r="GM15" s="17">
        <v>92288</v>
      </c>
      <c r="GN15" s="17">
        <v>92288</v>
      </c>
      <c r="GO15" s="17">
        <v>92288</v>
      </c>
      <c r="GP15" s="17">
        <v>92288</v>
      </c>
      <c r="GQ15" s="17">
        <v>93648</v>
      </c>
      <c r="GR15" s="17">
        <v>93648</v>
      </c>
      <c r="GS15" s="17">
        <v>93648</v>
      </c>
      <c r="GT15" s="17">
        <v>93648</v>
      </c>
      <c r="GU15" s="17">
        <v>93648</v>
      </c>
      <c r="GV15" s="17">
        <v>93648</v>
      </c>
      <c r="GW15" s="17">
        <v>93648</v>
      </c>
      <c r="GX15" s="17">
        <v>95856</v>
      </c>
      <c r="GY15" s="17">
        <v>95856</v>
      </c>
      <c r="GZ15" s="17">
        <v>95856</v>
      </c>
      <c r="HA15" s="17">
        <v>95856</v>
      </c>
      <c r="HB15" s="17">
        <v>95856</v>
      </c>
      <c r="HC15" s="17">
        <v>95856</v>
      </c>
      <c r="HD15" s="17">
        <v>95856</v>
      </c>
      <c r="HE15" s="17">
        <v>97776</v>
      </c>
      <c r="HF15" s="17">
        <v>97776</v>
      </c>
      <c r="HG15" s="17">
        <v>97776</v>
      </c>
      <c r="HH15" s="17">
        <v>97776</v>
      </c>
      <c r="HI15" s="17">
        <v>97776</v>
      </c>
      <c r="HJ15" s="17">
        <v>97776</v>
      </c>
      <c r="HK15" s="17">
        <v>97776</v>
      </c>
      <c r="HL15" s="17">
        <v>99888</v>
      </c>
      <c r="HM15" s="17">
        <v>99888</v>
      </c>
      <c r="HN15" s="17">
        <v>99888</v>
      </c>
      <c r="HO15" s="17">
        <v>99888</v>
      </c>
      <c r="HP15" s="17">
        <v>99888</v>
      </c>
      <c r="HQ15" s="17">
        <v>99888</v>
      </c>
      <c r="HR15" s="17">
        <v>99888</v>
      </c>
      <c r="HS15" s="17">
        <v>103632</v>
      </c>
      <c r="HT15" s="17">
        <v>103632</v>
      </c>
      <c r="HU15" s="17">
        <v>103632</v>
      </c>
      <c r="HV15" s="17">
        <v>103632</v>
      </c>
      <c r="HW15" s="17">
        <v>103632</v>
      </c>
      <c r="HX15" s="17">
        <v>103632</v>
      </c>
      <c r="HY15" s="17">
        <v>103632</v>
      </c>
      <c r="HZ15" s="17">
        <v>106992</v>
      </c>
      <c r="IA15" s="17">
        <v>106992</v>
      </c>
      <c r="IB15" s="17">
        <v>106992</v>
      </c>
      <c r="IC15" s="17">
        <v>106992</v>
      </c>
      <c r="ID15" s="17">
        <v>106992</v>
      </c>
      <c r="IE15" s="17">
        <v>106992</v>
      </c>
      <c r="IF15" s="17">
        <v>106992</v>
      </c>
      <c r="IG15" s="17">
        <v>109680</v>
      </c>
      <c r="IH15" s="17">
        <v>109680</v>
      </c>
      <c r="II15" s="17">
        <v>109680</v>
      </c>
      <c r="IJ15" s="17">
        <v>109680</v>
      </c>
      <c r="IK15" s="17">
        <v>109680</v>
      </c>
      <c r="IL15" s="17">
        <v>109680</v>
      </c>
      <c r="IM15" s="17">
        <v>109680</v>
      </c>
      <c r="IN15" s="17">
        <v>111120</v>
      </c>
      <c r="IO15" s="17">
        <v>111120</v>
      </c>
      <c r="IP15" s="17">
        <v>111120</v>
      </c>
      <c r="IQ15" s="17">
        <v>111120</v>
      </c>
      <c r="IR15" s="17">
        <v>111120</v>
      </c>
      <c r="IS15" s="17">
        <v>111120</v>
      </c>
      <c r="IT15" s="17">
        <v>111120</v>
      </c>
      <c r="IU15" s="17">
        <v>112944</v>
      </c>
      <c r="IV15" s="17">
        <v>112944</v>
      </c>
      <c r="IW15" s="17">
        <v>112944</v>
      </c>
      <c r="IX15" s="17">
        <v>112944</v>
      </c>
      <c r="IY15" s="17">
        <v>112944</v>
      </c>
      <c r="IZ15" s="17">
        <v>112944</v>
      </c>
      <c r="JA15" s="17">
        <v>112944</v>
      </c>
      <c r="JB15" s="17">
        <v>114864</v>
      </c>
      <c r="JC15" s="17">
        <v>114864</v>
      </c>
      <c r="JD15" s="17">
        <v>114864</v>
      </c>
      <c r="JE15" s="17">
        <v>114864</v>
      </c>
      <c r="JF15" s="17">
        <v>114864</v>
      </c>
      <c r="JG15" s="17">
        <v>114864</v>
      </c>
      <c r="JH15" s="17">
        <v>114864</v>
      </c>
      <c r="JI15" s="17">
        <v>116784</v>
      </c>
      <c r="JJ15" s="17">
        <v>116784</v>
      </c>
      <c r="JK15" s="17">
        <v>116784</v>
      </c>
      <c r="JL15" s="17">
        <v>116784</v>
      </c>
      <c r="JM15" s="17">
        <v>116784</v>
      </c>
      <c r="JN15" s="17">
        <v>116784</v>
      </c>
      <c r="JO15" s="17">
        <v>116784</v>
      </c>
      <c r="JP15" s="17">
        <v>118512</v>
      </c>
      <c r="JQ15" s="17">
        <v>118512</v>
      </c>
      <c r="JR15" s="17">
        <v>118512</v>
      </c>
      <c r="JS15" s="17">
        <v>118512</v>
      </c>
      <c r="JT15" s="17">
        <v>118512</v>
      </c>
      <c r="JU15" s="17">
        <v>118512</v>
      </c>
      <c r="JV15" s="17">
        <v>118512</v>
      </c>
      <c r="JW15" s="17">
        <v>120144</v>
      </c>
      <c r="JX15" s="17">
        <v>120144</v>
      </c>
      <c r="JY15" s="17">
        <v>120144</v>
      </c>
      <c r="JZ15" s="17">
        <v>120144</v>
      </c>
      <c r="KA15" s="17">
        <v>120144</v>
      </c>
      <c r="KB15" s="17">
        <v>120144</v>
      </c>
      <c r="KC15" s="17">
        <v>120144</v>
      </c>
      <c r="KD15" s="17">
        <v>121680</v>
      </c>
      <c r="KE15" s="17">
        <v>121680</v>
      </c>
      <c r="KF15" s="17">
        <v>121680</v>
      </c>
      <c r="KG15" s="17">
        <v>121680</v>
      </c>
      <c r="KH15" s="17">
        <v>121680</v>
      </c>
      <c r="KI15" s="17">
        <v>121680</v>
      </c>
      <c r="KJ15" s="17">
        <v>121680</v>
      </c>
      <c r="KK15" s="17">
        <v>122352</v>
      </c>
      <c r="KL15" s="17">
        <v>122352</v>
      </c>
      <c r="KM15" s="17">
        <v>122352</v>
      </c>
      <c r="KN15" s="17">
        <v>122352</v>
      </c>
      <c r="KO15" s="17">
        <v>122352</v>
      </c>
      <c r="KP15" s="17">
        <v>122352</v>
      </c>
      <c r="KQ15" s="17">
        <v>122352</v>
      </c>
      <c r="KR15" s="17">
        <v>122928</v>
      </c>
      <c r="KS15" s="17">
        <v>122928</v>
      </c>
      <c r="KT15" s="17">
        <v>122928</v>
      </c>
      <c r="KU15" s="17">
        <v>122928</v>
      </c>
      <c r="KV15" s="17">
        <v>122928</v>
      </c>
      <c r="KW15" s="17">
        <v>122928</v>
      </c>
      <c r="KX15" s="17">
        <v>122928</v>
      </c>
      <c r="KY15" s="17">
        <v>123696</v>
      </c>
      <c r="KZ15" s="17">
        <v>123696</v>
      </c>
      <c r="LA15" s="17">
        <v>123696</v>
      </c>
      <c r="LB15" s="17">
        <v>123696</v>
      </c>
      <c r="LC15" s="17">
        <v>123696</v>
      </c>
      <c r="LD15" s="17">
        <v>123696</v>
      </c>
      <c r="LE15" s="17">
        <v>123696</v>
      </c>
      <c r="LF15" s="17">
        <v>123984</v>
      </c>
      <c r="LG15" s="17">
        <v>123984</v>
      </c>
      <c r="LH15" s="17">
        <v>123984</v>
      </c>
      <c r="LI15" s="17">
        <v>123984</v>
      </c>
      <c r="LJ15" s="17">
        <v>123984</v>
      </c>
      <c r="LK15" s="17">
        <v>123984</v>
      </c>
      <c r="LL15" s="17">
        <v>123984</v>
      </c>
      <c r="LM15" s="17">
        <v>124368</v>
      </c>
      <c r="LN15" s="17">
        <v>124368</v>
      </c>
      <c r="LO15" s="17">
        <v>124368</v>
      </c>
      <c r="LP15" s="17">
        <v>124368</v>
      </c>
      <c r="LQ15" s="17">
        <v>124368</v>
      </c>
      <c r="LR15" s="17">
        <v>124368</v>
      </c>
      <c r="LS15" s="17">
        <v>124368</v>
      </c>
      <c r="LT15" s="17">
        <v>124656</v>
      </c>
      <c r="LU15" s="17">
        <v>124656</v>
      </c>
      <c r="LV15" s="17">
        <v>124656</v>
      </c>
      <c r="LW15" s="17">
        <v>124656</v>
      </c>
      <c r="LX15" s="17">
        <v>124656</v>
      </c>
      <c r="LY15" s="17">
        <v>124656</v>
      </c>
      <c r="LZ15" s="17">
        <v>124656</v>
      </c>
      <c r="MA15" s="17">
        <v>125328</v>
      </c>
      <c r="MB15" s="17">
        <v>125328</v>
      </c>
      <c r="MC15" s="17">
        <v>125328</v>
      </c>
      <c r="MD15" s="17">
        <v>132878</v>
      </c>
      <c r="ME15" s="17">
        <v>132878</v>
      </c>
      <c r="MF15" s="17">
        <v>133519</v>
      </c>
      <c r="MG15" s="17">
        <v>133519</v>
      </c>
      <c r="MH15" s="17">
        <v>133519</v>
      </c>
      <c r="MI15" s="17">
        <v>133519</v>
      </c>
      <c r="MJ15" s="17">
        <v>133519</v>
      </c>
      <c r="MK15" s="17">
        <v>133519</v>
      </c>
      <c r="ML15" s="17">
        <v>133519</v>
      </c>
      <c r="MM15" s="17">
        <v>134231</v>
      </c>
      <c r="MN15" s="17">
        <v>134231</v>
      </c>
      <c r="MO15" s="17">
        <v>134231</v>
      </c>
      <c r="MP15" s="17">
        <v>134231</v>
      </c>
      <c r="MQ15" s="17">
        <v>134231</v>
      </c>
      <c r="MR15" s="17">
        <v>134231</v>
      </c>
      <c r="MS15" s="17">
        <v>134231</v>
      </c>
      <c r="MT15" s="17">
        <v>134612</v>
      </c>
      <c r="MU15" s="17">
        <v>134612</v>
      </c>
      <c r="MV15" s="17">
        <v>134612</v>
      </c>
      <c r="MW15" s="17">
        <v>134612</v>
      </c>
      <c r="MX15" s="17">
        <v>134612</v>
      </c>
      <c r="MY15" s="17">
        <v>134612</v>
      </c>
      <c r="MZ15" s="17">
        <v>134612</v>
      </c>
      <c r="NA15" s="17">
        <v>134935</v>
      </c>
      <c r="NB15" s="17">
        <v>134935</v>
      </c>
      <c r="NC15" s="17">
        <v>134935</v>
      </c>
      <c r="ND15" s="17">
        <v>134935</v>
      </c>
      <c r="NE15" s="17">
        <v>134935</v>
      </c>
      <c r="NF15" s="17">
        <v>134935</v>
      </c>
      <c r="NG15" s="17">
        <v>134935</v>
      </c>
      <c r="NH15" s="17">
        <v>135253</v>
      </c>
      <c r="NI15" s="17">
        <v>135253</v>
      </c>
      <c r="NJ15" s="17">
        <v>135253</v>
      </c>
      <c r="NK15" s="17">
        <v>135253</v>
      </c>
      <c r="NL15" s="17">
        <v>135253</v>
      </c>
      <c r="NM15" s="17">
        <v>135253</v>
      </c>
      <c r="NN15" s="17">
        <v>135253</v>
      </c>
      <c r="NO15" s="17">
        <v>135858</v>
      </c>
      <c r="NP15" s="17">
        <v>135858</v>
      </c>
      <c r="NQ15" s="17">
        <v>135858</v>
      </c>
      <c r="NR15" s="17">
        <v>135858</v>
      </c>
      <c r="NS15" s="17">
        <v>135858</v>
      </c>
      <c r="NT15" s="17">
        <v>135858</v>
      </c>
      <c r="NU15" s="17">
        <v>135858</v>
      </c>
      <c r="NV15" s="17">
        <v>136460</v>
      </c>
      <c r="NW15" s="17">
        <v>136460</v>
      </c>
      <c r="NX15" s="17">
        <v>136460</v>
      </c>
      <c r="NY15" s="17">
        <v>136460</v>
      </c>
      <c r="NZ15" s="17">
        <v>136460</v>
      </c>
      <c r="OA15" s="17">
        <v>136460</v>
      </c>
      <c r="OB15" s="17">
        <v>136460</v>
      </c>
      <c r="OC15" s="17">
        <v>136783</v>
      </c>
      <c r="OD15" s="17">
        <v>136783</v>
      </c>
      <c r="OE15" s="17">
        <v>136783</v>
      </c>
      <c r="OF15" s="17">
        <v>136783</v>
      </c>
      <c r="OG15" s="17">
        <v>136783</v>
      </c>
      <c r="OH15" s="17">
        <v>136783</v>
      </c>
      <c r="OI15" s="17">
        <v>136783</v>
      </c>
      <c r="OJ15" s="17">
        <v>137190</v>
      </c>
      <c r="OK15" s="17">
        <v>137190</v>
      </c>
      <c r="OL15" s="17">
        <v>137190</v>
      </c>
      <c r="OM15" s="17">
        <v>137190</v>
      </c>
      <c r="ON15" s="17">
        <v>137190</v>
      </c>
      <c r="OO15" s="17">
        <v>137190</v>
      </c>
      <c r="OP15" s="17">
        <v>137190</v>
      </c>
      <c r="OQ15" s="17">
        <v>137619</v>
      </c>
      <c r="OR15" s="17">
        <v>137619</v>
      </c>
      <c r="OS15" s="17">
        <v>137619</v>
      </c>
      <c r="OT15" s="17">
        <v>137619</v>
      </c>
      <c r="OU15" s="17">
        <v>137619</v>
      </c>
      <c r="OV15" s="17">
        <v>137619</v>
      </c>
      <c r="OW15" s="17">
        <v>137619</v>
      </c>
      <c r="OX15" s="17">
        <v>138048</v>
      </c>
      <c r="OY15" s="17">
        <v>138048</v>
      </c>
      <c r="OZ15" s="17">
        <v>138048</v>
      </c>
      <c r="PA15" s="17">
        <v>138048</v>
      </c>
      <c r="PB15" s="17">
        <v>138048</v>
      </c>
      <c r="PC15" s="17">
        <v>138048</v>
      </c>
      <c r="PD15" s="17">
        <v>138048</v>
      </c>
      <c r="PE15" s="17">
        <v>138477</v>
      </c>
      <c r="PF15" s="17">
        <v>138477</v>
      </c>
      <c r="PG15" s="17">
        <v>138477</v>
      </c>
      <c r="PH15" s="17">
        <v>138477</v>
      </c>
      <c r="PI15" s="17">
        <v>138477</v>
      </c>
      <c r="PJ15" s="17">
        <v>138477</v>
      </c>
      <c r="PK15" s="17">
        <v>138477</v>
      </c>
      <c r="PL15" s="17">
        <v>138477</v>
      </c>
    </row>
    <row r="16" spans="1:428" s="12" customFormat="1" outlineLevel="1">
      <c r="A16" s="20" t="s">
        <v>19</v>
      </c>
      <c r="B16" s="12" t="s">
        <v>21</v>
      </c>
      <c r="C16" s="12" t="str">
        <f t="shared" si="21"/>
        <v>LensBoldSANDSTORM</v>
      </c>
      <c r="D16" s="12" t="s">
        <v>36</v>
      </c>
      <c r="E16" s="16" t="s">
        <v>14</v>
      </c>
      <c r="F16" s="13" t="s">
        <v>6</v>
      </c>
      <c r="G16" s="13" t="s">
        <v>9</v>
      </c>
      <c r="H16" s="14">
        <v>318003500482</v>
      </c>
      <c r="I16" s="13"/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100</v>
      </c>
      <c r="CL16" s="17">
        <v>100</v>
      </c>
      <c r="CM16" s="17">
        <v>100</v>
      </c>
      <c r="CN16" s="17">
        <v>100</v>
      </c>
      <c r="CO16" s="17">
        <v>100</v>
      </c>
      <c r="CP16" s="17">
        <v>100</v>
      </c>
      <c r="CQ16" s="17">
        <v>50</v>
      </c>
      <c r="CR16" s="17">
        <v>2546</v>
      </c>
      <c r="CS16" s="17">
        <v>2546</v>
      </c>
      <c r="CT16" s="17">
        <v>3671</v>
      </c>
      <c r="CU16" s="17">
        <v>4009</v>
      </c>
      <c r="CV16" s="17">
        <v>4009</v>
      </c>
      <c r="CW16" s="17">
        <v>4009</v>
      </c>
      <c r="CX16" s="17">
        <v>4009</v>
      </c>
      <c r="CY16" s="17">
        <v>4009</v>
      </c>
      <c r="CZ16" s="17">
        <v>4009</v>
      </c>
      <c r="DA16" s="17">
        <v>4009</v>
      </c>
      <c r="DB16" s="17">
        <v>3598</v>
      </c>
      <c r="DC16" s="17">
        <v>3598</v>
      </c>
      <c r="DD16" s="17">
        <v>3886</v>
      </c>
      <c r="DE16" s="17">
        <v>3886</v>
      </c>
      <c r="DF16" s="17">
        <v>3886</v>
      </c>
      <c r="DG16" s="17">
        <v>3598</v>
      </c>
      <c r="DH16" s="17">
        <v>3598</v>
      </c>
      <c r="DI16" s="17">
        <v>3598</v>
      </c>
      <c r="DJ16" s="17">
        <v>3598</v>
      </c>
      <c r="DK16" s="17">
        <v>3598</v>
      </c>
      <c r="DL16" s="17">
        <v>3598</v>
      </c>
      <c r="DM16" s="17">
        <v>3598</v>
      </c>
      <c r="DN16" s="17">
        <v>3598</v>
      </c>
      <c r="DO16" s="17">
        <v>5350</v>
      </c>
      <c r="DP16" s="17">
        <v>5350</v>
      </c>
      <c r="DQ16" s="17">
        <v>5350</v>
      </c>
      <c r="DR16" s="17">
        <v>5350</v>
      </c>
      <c r="DS16" s="17">
        <v>5350</v>
      </c>
      <c r="DT16" s="17">
        <v>6686</v>
      </c>
      <c r="DU16" s="17">
        <v>6732</v>
      </c>
      <c r="DV16" s="17">
        <v>6732</v>
      </c>
      <c r="DW16" s="17">
        <v>6904</v>
      </c>
      <c r="DX16" s="17">
        <v>6904</v>
      </c>
      <c r="DY16" s="17">
        <v>6904</v>
      </c>
      <c r="DZ16" s="17">
        <v>6904</v>
      </c>
      <c r="EA16" s="17">
        <v>6904</v>
      </c>
      <c r="EB16" s="17">
        <v>6904</v>
      </c>
      <c r="EC16" s="17">
        <v>6904</v>
      </c>
      <c r="ED16" s="17">
        <v>7076</v>
      </c>
      <c r="EE16" s="17">
        <v>7076</v>
      </c>
      <c r="EF16" s="17">
        <v>7076</v>
      </c>
      <c r="EG16" s="17">
        <v>7076</v>
      </c>
      <c r="EH16" s="17">
        <v>7076</v>
      </c>
      <c r="EI16" s="17">
        <v>7076</v>
      </c>
      <c r="EJ16" s="17">
        <v>7076</v>
      </c>
      <c r="EK16" s="17">
        <v>7248</v>
      </c>
      <c r="EL16" s="17">
        <v>7248</v>
      </c>
      <c r="EM16" s="17">
        <v>7248</v>
      </c>
      <c r="EN16" s="17">
        <v>7248</v>
      </c>
      <c r="EO16" s="17">
        <v>7248</v>
      </c>
      <c r="EP16" s="17">
        <v>7248</v>
      </c>
      <c r="EQ16" s="17">
        <v>7248</v>
      </c>
      <c r="ER16" s="17">
        <v>7528</v>
      </c>
      <c r="ES16" s="17">
        <v>0</v>
      </c>
      <c r="ET16" s="17">
        <v>0</v>
      </c>
      <c r="EU16" s="17">
        <v>0</v>
      </c>
      <c r="EV16" s="17">
        <v>0</v>
      </c>
      <c r="EW16" s="17">
        <v>0</v>
      </c>
      <c r="EX16" s="17">
        <v>0</v>
      </c>
      <c r="EY16" s="17">
        <v>6296</v>
      </c>
      <c r="EZ16" s="17">
        <v>6296</v>
      </c>
      <c r="FA16" s="17">
        <v>6296</v>
      </c>
      <c r="FB16" s="17">
        <v>6296</v>
      </c>
      <c r="FC16" s="17">
        <v>6296</v>
      </c>
      <c r="FD16" s="17">
        <v>6296</v>
      </c>
      <c r="FE16" s="17">
        <v>6296</v>
      </c>
      <c r="FF16" s="17">
        <v>10913</v>
      </c>
      <c r="FG16" s="17">
        <v>10913</v>
      </c>
      <c r="FH16" s="17">
        <v>10913</v>
      </c>
      <c r="FI16" s="17">
        <v>10913</v>
      </c>
      <c r="FJ16" s="17">
        <v>10913</v>
      </c>
      <c r="FK16" s="17">
        <v>10913</v>
      </c>
      <c r="FL16" s="17">
        <v>10913</v>
      </c>
      <c r="FM16" s="17">
        <v>12624</v>
      </c>
      <c r="FN16" s="17">
        <v>12624</v>
      </c>
      <c r="FO16" s="17">
        <v>12624</v>
      </c>
      <c r="FP16" s="17">
        <v>12624</v>
      </c>
      <c r="FQ16" s="17">
        <v>12624</v>
      </c>
      <c r="FR16" s="17">
        <v>12624</v>
      </c>
      <c r="FS16" s="17">
        <v>12624</v>
      </c>
      <c r="FT16" s="17">
        <v>13234</v>
      </c>
      <c r="FU16" s="17">
        <v>13234</v>
      </c>
      <c r="FV16" s="17">
        <v>13234</v>
      </c>
      <c r="FW16" s="17">
        <v>13234</v>
      </c>
      <c r="FX16" s="17">
        <v>13234</v>
      </c>
      <c r="FY16" s="17">
        <v>13234</v>
      </c>
      <c r="FZ16" s="17">
        <v>13234</v>
      </c>
      <c r="GA16" s="17">
        <v>13619</v>
      </c>
      <c r="GB16" s="17">
        <v>13619</v>
      </c>
      <c r="GC16" s="17">
        <v>13619</v>
      </c>
      <c r="GD16" s="17">
        <v>13619</v>
      </c>
      <c r="GE16" s="17">
        <v>13619</v>
      </c>
      <c r="GF16" s="17">
        <v>13619</v>
      </c>
      <c r="GG16" s="17">
        <v>13619</v>
      </c>
      <c r="GH16" s="17">
        <v>13985</v>
      </c>
      <c r="GI16" s="17">
        <v>13985</v>
      </c>
      <c r="GJ16" s="17">
        <v>13985</v>
      </c>
      <c r="GK16" s="17">
        <v>13985</v>
      </c>
      <c r="GL16" s="17">
        <v>13985</v>
      </c>
      <c r="GM16" s="17">
        <v>13985</v>
      </c>
      <c r="GN16" s="17">
        <v>13985</v>
      </c>
      <c r="GO16" s="17">
        <v>14446</v>
      </c>
      <c r="GP16" s="17">
        <v>14446</v>
      </c>
      <c r="GQ16" s="17">
        <v>14446</v>
      </c>
      <c r="GR16" s="17">
        <v>14446</v>
      </c>
      <c r="GS16" s="17">
        <v>14446</v>
      </c>
      <c r="GT16" s="17">
        <v>14446</v>
      </c>
      <c r="GU16" s="17">
        <v>14446</v>
      </c>
      <c r="GV16" s="17">
        <v>14838</v>
      </c>
      <c r="GW16" s="17">
        <v>14838</v>
      </c>
      <c r="GX16" s="17">
        <v>14838</v>
      </c>
      <c r="GY16" s="17">
        <v>14838</v>
      </c>
      <c r="GZ16" s="17">
        <v>14838</v>
      </c>
      <c r="HA16" s="17">
        <v>14838</v>
      </c>
      <c r="HB16" s="17">
        <v>14838</v>
      </c>
      <c r="HC16" s="17">
        <v>14994</v>
      </c>
      <c r="HD16" s="17">
        <v>14994</v>
      </c>
      <c r="HE16" s="17">
        <v>14994</v>
      </c>
      <c r="HF16" s="17">
        <v>14994</v>
      </c>
      <c r="HG16" s="17">
        <v>14994</v>
      </c>
      <c r="HH16" s="17">
        <v>14994</v>
      </c>
      <c r="HI16" s="17">
        <v>14994</v>
      </c>
      <c r="HJ16" s="17">
        <v>15422</v>
      </c>
      <c r="HK16" s="17">
        <v>15422</v>
      </c>
      <c r="HL16" s="17">
        <v>15422</v>
      </c>
      <c r="HM16" s="17">
        <v>15422</v>
      </c>
      <c r="HN16" s="17">
        <v>15422</v>
      </c>
      <c r="HO16" s="17">
        <v>15422</v>
      </c>
      <c r="HP16" s="17">
        <v>15422</v>
      </c>
      <c r="HQ16" s="17">
        <v>15913</v>
      </c>
      <c r="HR16" s="17">
        <v>15913</v>
      </c>
      <c r="HS16" s="17">
        <v>15913</v>
      </c>
      <c r="HT16" s="17">
        <v>15913</v>
      </c>
      <c r="HU16" s="17">
        <v>15913</v>
      </c>
      <c r="HV16" s="17">
        <v>15913</v>
      </c>
      <c r="HW16" s="17">
        <v>15913</v>
      </c>
      <c r="HX16" s="17">
        <v>16461</v>
      </c>
      <c r="HY16" s="17">
        <v>16461</v>
      </c>
      <c r="HZ16" s="17">
        <v>16461</v>
      </c>
      <c r="IA16" s="17">
        <v>16461</v>
      </c>
      <c r="IB16" s="17">
        <v>16461</v>
      </c>
      <c r="IC16" s="17">
        <v>16461</v>
      </c>
      <c r="ID16" s="17">
        <v>16461</v>
      </c>
      <c r="IE16" s="17">
        <v>16878</v>
      </c>
      <c r="IF16" s="17">
        <v>16878</v>
      </c>
      <c r="IG16" s="17">
        <v>16878</v>
      </c>
      <c r="IH16" s="17">
        <v>16878</v>
      </c>
      <c r="II16" s="17">
        <v>16878</v>
      </c>
      <c r="IJ16" s="17">
        <v>16878</v>
      </c>
      <c r="IK16" s="17">
        <v>16878</v>
      </c>
      <c r="IL16" s="17">
        <v>17347</v>
      </c>
      <c r="IM16" s="17">
        <v>17347</v>
      </c>
      <c r="IN16" s="17">
        <v>17347</v>
      </c>
      <c r="IO16" s="17">
        <v>17347</v>
      </c>
      <c r="IP16" s="17">
        <v>17347</v>
      </c>
      <c r="IQ16" s="17">
        <v>17347</v>
      </c>
      <c r="IR16" s="17">
        <v>17347</v>
      </c>
      <c r="IS16" s="17">
        <v>17554</v>
      </c>
      <c r="IT16" s="17">
        <v>17554</v>
      </c>
      <c r="IU16" s="17">
        <v>17554</v>
      </c>
      <c r="IV16" s="17">
        <v>17554</v>
      </c>
      <c r="IW16" s="17">
        <v>17554</v>
      </c>
      <c r="IX16" s="17">
        <v>17554</v>
      </c>
      <c r="IY16" s="17">
        <v>17554</v>
      </c>
      <c r="IZ16" s="17">
        <v>17739</v>
      </c>
      <c r="JA16" s="17">
        <v>17739</v>
      </c>
      <c r="JB16" s="17">
        <v>17739</v>
      </c>
      <c r="JC16" s="17">
        <v>17739</v>
      </c>
      <c r="JD16" s="17">
        <v>17739</v>
      </c>
      <c r="JE16" s="17">
        <v>17739</v>
      </c>
      <c r="JF16" s="17">
        <v>17739</v>
      </c>
      <c r="JG16" s="17">
        <v>17899</v>
      </c>
      <c r="JH16" s="17">
        <v>17899</v>
      </c>
      <c r="JI16" s="17">
        <v>17899</v>
      </c>
      <c r="JJ16" s="17">
        <v>17899</v>
      </c>
      <c r="JK16" s="17">
        <v>17899</v>
      </c>
      <c r="JL16" s="17">
        <v>17899</v>
      </c>
      <c r="JM16" s="17">
        <v>17899</v>
      </c>
      <c r="JN16" s="17">
        <v>18043</v>
      </c>
      <c r="JO16" s="17">
        <v>18043</v>
      </c>
      <c r="JP16" s="17">
        <v>18043</v>
      </c>
      <c r="JQ16" s="17">
        <v>18043</v>
      </c>
      <c r="JR16" s="17">
        <v>18043</v>
      </c>
      <c r="JS16" s="17">
        <v>18043</v>
      </c>
      <c r="JT16" s="17">
        <v>18043</v>
      </c>
      <c r="JU16" s="17">
        <v>18236</v>
      </c>
      <c r="JV16" s="17">
        <v>18236</v>
      </c>
      <c r="JW16" s="17">
        <v>18236</v>
      </c>
      <c r="JX16" s="17">
        <v>18236</v>
      </c>
      <c r="JY16" s="17">
        <v>18236</v>
      </c>
      <c r="JZ16" s="17">
        <v>18236</v>
      </c>
      <c r="KA16" s="17">
        <v>18236</v>
      </c>
      <c r="KB16" s="17">
        <v>18522</v>
      </c>
      <c r="KC16" s="17">
        <v>18522</v>
      </c>
      <c r="KD16" s="17">
        <v>18522</v>
      </c>
      <c r="KE16" s="17">
        <v>18522</v>
      </c>
      <c r="KF16" s="17">
        <v>18522</v>
      </c>
      <c r="KG16" s="17">
        <v>18522</v>
      </c>
      <c r="KH16" s="17">
        <v>18522</v>
      </c>
      <c r="KI16" s="17">
        <v>18853</v>
      </c>
      <c r="KJ16" s="17">
        <v>18853</v>
      </c>
      <c r="KK16" s="17">
        <v>18853</v>
      </c>
      <c r="KL16" s="17">
        <v>18853</v>
      </c>
      <c r="KM16" s="17">
        <v>18853</v>
      </c>
      <c r="KN16" s="17">
        <v>18853</v>
      </c>
      <c r="KO16" s="17">
        <v>18853</v>
      </c>
      <c r="KP16" s="17">
        <v>19056</v>
      </c>
      <c r="KQ16" s="17">
        <v>19056</v>
      </c>
      <c r="KR16" s="17">
        <v>19056</v>
      </c>
      <c r="KS16" s="17">
        <v>19056</v>
      </c>
      <c r="KT16" s="17">
        <v>19056</v>
      </c>
      <c r="KU16" s="17">
        <v>19056</v>
      </c>
      <c r="KV16" s="17">
        <v>19056</v>
      </c>
      <c r="KW16" s="17">
        <v>19261</v>
      </c>
      <c r="KX16" s="17">
        <v>19261</v>
      </c>
      <c r="KY16" s="17">
        <v>19261</v>
      </c>
      <c r="KZ16" s="17">
        <v>19261</v>
      </c>
      <c r="LA16" s="17">
        <v>19261</v>
      </c>
      <c r="LB16" s="17">
        <v>19261</v>
      </c>
      <c r="LC16" s="17">
        <v>19261</v>
      </c>
      <c r="LD16" s="17">
        <v>19447</v>
      </c>
      <c r="LE16" s="17">
        <v>19447</v>
      </c>
      <c r="LF16" s="17">
        <v>19447</v>
      </c>
      <c r="LG16" s="17">
        <v>19447</v>
      </c>
      <c r="LH16" s="17">
        <v>19447</v>
      </c>
      <c r="LI16" s="17">
        <v>19447</v>
      </c>
      <c r="LJ16" s="17">
        <v>19447</v>
      </c>
      <c r="LK16" s="17">
        <v>19541</v>
      </c>
      <c r="LL16" s="17">
        <v>19541</v>
      </c>
      <c r="LM16" s="17">
        <v>19541</v>
      </c>
      <c r="LN16" s="17">
        <v>19541</v>
      </c>
      <c r="LO16" s="17">
        <v>19541</v>
      </c>
      <c r="LP16" s="17">
        <v>19541</v>
      </c>
      <c r="LQ16" s="17">
        <v>19541</v>
      </c>
      <c r="LR16" s="17">
        <v>19641</v>
      </c>
      <c r="LS16" s="17">
        <v>19641</v>
      </c>
      <c r="LT16" s="17">
        <v>19641</v>
      </c>
      <c r="LU16" s="17">
        <v>19641</v>
      </c>
      <c r="LV16" s="17">
        <v>19641</v>
      </c>
      <c r="LW16" s="17">
        <v>19641</v>
      </c>
      <c r="LX16" s="17">
        <v>19641</v>
      </c>
      <c r="LY16" s="17">
        <v>19742</v>
      </c>
      <c r="LZ16" s="17">
        <v>19742</v>
      </c>
      <c r="MA16" s="17">
        <v>19742</v>
      </c>
      <c r="MB16" s="17">
        <v>19742</v>
      </c>
      <c r="MC16" s="17">
        <v>19742</v>
      </c>
      <c r="MD16" s="17">
        <v>19742</v>
      </c>
      <c r="ME16" s="17">
        <v>19742</v>
      </c>
      <c r="MF16" s="17">
        <v>19946</v>
      </c>
      <c r="MG16" s="17">
        <v>19946</v>
      </c>
      <c r="MH16" s="17">
        <v>19946</v>
      </c>
      <c r="MI16" s="17">
        <v>19946</v>
      </c>
      <c r="MJ16" s="17">
        <v>19946</v>
      </c>
      <c r="MK16" s="17">
        <v>19946</v>
      </c>
      <c r="ML16" s="17">
        <v>19946</v>
      </c>
      <c r="MM16" s="17">
        <v>20150</v>
      </c>
      <c r="MN16" s="17">
        <v>20150</v>
      </c>
      <c r="MO16" s="17">
        <v>20150</v>
      </c>
      <c r="MP16" s="17">
        <v>20150</v>
      </c>
      <c r="MQ16" s="17">
        <v>20150</v>
      </c>
      <c r="MR16" s="17">
        <v>20150</v>
      </c>
      <c r="MS16" s="17">
        <v>20150</v>
      </c>
      <c r="MT16" s="17">
        <v>20252</v>
      </c>
      <c r="MU16" s="17">
        <v>20252</v>
      </c>
      <c r="MV16" s="17">
        <v>20252</v>
      </c>
      <c r="MW16" s="17">
        <v>20252</v>
      </c>
      <c r="MX16" s="17">
        <v>20252</v>
      </c>
      <c r="MY16" s="17">
        <v>20252</v>
      </c>
      <c r="MZ16" s="17">
        <v>20252</v>
      </c>
      <c r="NA16" s="17">
        <v>20356</v>
      </c>
      <c r="NB16" s="17">
        <v>20356</v>
      </c>
      <c r="NC16" s="17">
        <v>20356</v>
      </c>
      <c r="ND16" s="17">
        <v>20356</v>
      </c>
      <c r="NE16" s="17">
        <v>20356</v>
      </c>
      <c r="NF16" s="17">
        <v>20356</v>
      </c>
      <c r="NG16" s="17">
        <v>20356</v>
      </c>
      <c r="NH16" s="17">
        <v>20470</v>
      </c>
      <c r="NI16" s="17">
        <v>20470</v>
      </c>
      <c r="NJ16" s="17">
        <v>20470</v>
      </c>
      <c r="NK16" s="17">
        <v>20470</v>
      </c>
      <c r="NL16" s="17">
        <v>20470</v>
      </c>
      <c r="NM16" s="17">
        <v>20470</v>
      </c>
      <c r="NN16" s="17">
        <v>20470</v>
      </c>
      <c r="NO16" s="17">
        <v>20740</v>
      </c>
      <c r="NP16" s="17">
        <v>20740</v>
      </c>
      <c r="NQ16" s="17">
        <v>20740</v>
      </c>
      <c r="NR16" s="17">
        <v>20740</v>
      </c>
      <c r="NS16" s="17">
        <v>20740</v>
      </c>
      <c r="NT16" s="17">
        <v>20740</v>
      </c>
      <c r="NU16" s="17">
        <v>20740</v>
      </c>
      <c r="NV16" s="17">
        <v>20992</v>
      </c>
      <c r="NW16" s="17">
        <v>20992</v>
      </c>
      <c r="NX16" s="17">
        <v>20992</v>
      </c>
      <c r="NY16" s="17">
        <v>20992</v>
      </c>
      <c r="NZ16" s="17">
        <v>20992</v>
      </c>
      <c r="OA16" s="17">
        <v>20992</v>
      </c>
      <c r="OB16" s="17">
        <v>20992</v>
      </c>
      <c r="OC16" s="17">
        <v>21098</v>
      </c>
      <c r="OD16" s="17">
        <v>21098</v>
      </c>
      <c r="OE16" s="17">
        <v>21098</v>
      </c>
      <c r="OF16" s="17">
        <v>21098</v>
      </c>
      <c r="OG16" s="17">
        <v>21098</v>
      </c>
      <c r="OH16" s="17">
        <v>21098</v>
      </c>
      <c r="OI16" s="17">
        <v>21098</v>
      </c>
      <c r="OJ16" s="17">
        <v>21173</v>
      </c>
      <c r="OK16" s="17">
        <v>21173</v>
      </c>
      <c r="OL16" s="17">
        <v>21173</v>
      </c>
      <c r="OM16" s="17">
        <v>21173</v>
      </c>
      <c r="ON16" s="17">
        <v>21173</v>
      </c>
      <c r="OO16" s="17">
        <v>21173</v>
      </c>
      <c r="OP16" s="17">
        <v>21173</v>
      </c>
      <c r="OQ16" s="17">
        <v>21239</v>
      </c>
      <c r="OR16" s="17">
        <v>21239</v>
      </c>
      <c r="OS16" s="17">
        <v>21239</v>
      </c>
      <c r="OT16" s="17">
        <v>21239</v>
      </c>
      <c r="OU16" s="17">
        <v>21239</v>
      </c>
      <c r="OV16" s="17">
        <v>21239</v>
      </c>
      <c r="OW16" s="17">
        <v>21239</v>
      </c>
      <c r="OX16" s="17">
        <v>21305</v>
      </c>
      <c r="OY16" s="17">
        <v>21305</v>
      </c>
      <c r="OZ16" s="17">
        <v>21305</v>
      </c>
      <c r="PA16" s="17">
        <v>21305</v>
      </c>
      <c r="PB16" s="17">
        <v>21305</v>
      </c>
      <c r="PC16" s="17">
        <v>21305</v>
      </c>
      <c r="PD16" s="17">
        <v>21305</v>
      </c>
      <c r="PE16" s="17">
        <v>21371</v>
      </c>
      <c r="PF16" s="17">
        <v>21371</v>
      </c>
      <c r="PG16" s="17">
        <v>21371</v>
      </c>
      <c r="PH16" s="17">
        <v>21371</v>
      </c>
      <c r="PI16" s="17">
        <v>21371</v>
      </c>
      <c r="PJ16" s="17">
        <v>21371</v>
      </c>
      <c r="PK16" s="17">
        <v>21371</v>
      </c>
      <c r="PL16" s="17">
        <v>21371</v>
      </c>
    </row>
    <row r="17" spans="1:428" s="12" customFormat="1" outlineLevel="1">
      <c r="A17" s="20" t="s">
        <v>19</v>
      </c>
      <c r="B17" s="12" t="s">
        <v>21</v>
      </c>
      <c r="C17" s="12" t="str">
        <f t="shared" si="21"/>
        <v>LensSlim OvalBLACK</v>
      </c>
      <c r="D17" s="12" t="s">
        <v>36</v>
      </c>
      <c r="E17" s="16" t="s">
        <v>14</v>
      </c>
      <c r="F17" s="13" t="s">
        <v>10</v>
      </c>
      <c r="G17" s="13" t="s">
        <v>1</v>
      </c>
      <c r="H17" s="14">
        <v>318003500511</v>
      </c>
      <c r="I17" s="13"/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940</v>
      </c>
      <c r="BT17" s="17">
        <v>940</v>
      </c>
      <c r="BU17" s="17">
        <v>940</v>
      </c>
      <c r="BV17" s="17">
        <v>940</v>
      </c>
      <c r="BW17" s="17">
        <v>940</v>
      </c>
      <c r="BX17" s="17">
        <v>940</v>
      </c>
      <c r="BY17" s="17">
        <v>940</v>
      </c>
      <c r="BZ17" s="17">
        <v>1600</v>
      </c>
      <c r="CA17" s="17">
        <v>2357</v>
      </c>
      <c r="CB17" s="17">
        <v>2357</v>
      </c>
      <c r="CC17" s="17">
        <v>2357</v>
      </c>
      <c r="CD17" s="17">
        <v>2357</v>
      </c>
      <c r="CE17" s="17">
        <v>957</v>
      </c>
      <c r="CF17" s="17">
        <v>957</v>
      </c>
      <c r="CG17" s="17">
        <v>1077</v>
      </c>
      <c r="CH17" s="17">
        <v>1077</v>
      </c>
      <c r="CI17" s="17">
        <v>2009</v>
      </c>
      <c r="CJ17" s="17">
        <v>2041</v>
      </c>
      <c r="CK17" s="17">
        <v>2641</v>
      </c>
      <c r="CL17" s="17">
        <v>2641</v>
      </c>
      <c r="CM17" s="17">
        <v>2993</v>
      </c>
      <c r="CN17" s="17">
        <v>3299</v>
      </c>
      <c r="CO17" s="17">
        <v>3299</v>
      </c>
      <c r="CP17" s="17">
        <v>3299</v>
      </c>
      <c r="CQ17" s="17">
        <v>5322</v>
      </c>
      <c r="CR17" s="17">
        <v>13579</v>
      </c>
      <c r="CS17" s="17">
        <v>13579</v>
      </c>
      <c r="CT17" s="17">
        <v>14558</v>
      </c>
      <c r="CU17" s="17">
        <v>15022</v>
      </c>
      <c r="CV17" s="17">
        <v>15022</v>
      </c>
      <c r="CW17" s="17">
        <v>15022</v>
      </c>
      <c r="CX17" s="17">
        <v>15465</v>
      </c>
      <c r="CY17" s="17">
        <v>15465</v>
      </c>
      <c r="CZ17" s="17">
        <v>15465</v>
      </c>
      <c r="DA17" s="17">
        <v>19065</v>
      </c>
      <c r="DB17" s="17">
        <v>21942</v>
      </c>
      <c r="DC17" s="17">
        <v>21942</v>
      </c>
      <c r="DD17" s="17">
        <v>25062</v>
      </c>
      <c r="DE17" s="17">
        <v>26243</v>
      </c>
      <c r="DF17" s="17">
        <v>28253</v>
      </c>
      <c r="DG17" s="17">
        <v>31373</v>
      </c>
      <c r="DH17" s="17">
        <v>34493</v>
      </c>
      <c r="DI17" s="17">
        <v>38793</v>
      </c>
      <c r="DJ17" s="17">
        <v>42275</v>
      </c>
      <c r="DK17" s="17">
        <v>44461</v>
      </c>
      <c r="DL17" s="17">
        <v>45495</v>
      </c>
      <c r="DM17" s="17">
        <v>49261</v>
      </c>
      <c r="DN17" s="17">
        <v>52525</v>
      </c>
      <c r="DO17" s="17">
        <v>56157</v>
      </c>
      <c r="DP17" s="17">
        <v>58375</v>
      </c>
      <c r="DQ17" s="17">
        <v>64545</v>
      </c>
      <c r="DR17" s="17">
        <v>69345</v>
      </c>
      <c r="DS17" s="17">
        <v>74008</v>
      </c>
      <c r="DT17" s="17">
        <v>78808</v>
      </c>
      <c r="DU17" s="17">
        <v>56888</v>
      </c>
      <c r="DV17" s="17">
        <v>56888</v>
      </c>
      <c r="DW17" s="17">
        <v>62553</v>
      </c>
      <c r="DX17" s="17">
        <v>62553</v>
      </c>
      <c r="DY17" s="17">
        <v>62553</v>
      </c>
      <c r="DZ17" s="17">
        <v>62553</v>
      </c>
      <c r="EA17" s="17">
        <v>62553</v>
      </c>
      <c r="EB17" s="17">
        <v>62553</v>
      </c>
      <c r="EC17" s="17">
        <v>62553</v>
      </c>
      <c r="ED17" s="17">
        <v>78111</v>
      </c>
      <c r="EE17" s="17">
        <v>78111</v>
      </c>
      <c r="EF17" s="17">
        <v>78111</v>
      </c>
      <c r="EG17" s="17">
        <v>78111</v>
      </c>
      <c r="EH17" s="17">
        <v>78111</v>
      </c>
      <c r="EI17" s="17">
        <v>78111</v>
      </c>
      <c r="EJ17" s="17">
        <v>78111</v>
      </c>
      <c r="EK17" s="17">
        <v>82993</v>
      </c>
      <c r="EL17" s="17">
        <v>82993</v>
      </c>
      <c r="EM17" s="17">
        <v>82993</v>
      </c>
      <c r="EN17" s="17">
        <v>82993</v>
      </c>
      <c r="EO17" s="17">
        <v>82993</v>
      </c>
      <c r="EP17" s="17">
        <v>82993</v>
      </c>
      <c r="EQ17" s="17">
        <v>82993</v>
      </c>
      <c r="ER17" s="17">
        <v>82993</v>
      </c>
      <c r="ES17" s="17">
        <v>0</v>
      </c>
      <c r="ET17" s="17">
        <v>0</v>
      </c>
      <c r="EU17" s="17">
        <v>0</v>
      </c>
      <c r="EV17" s="17">
        <v>0</v>
      </c>
      <c r="EW17" s="17">
        <v>0</v>
      </c>
      <c r="EX17" s="17">
        <v>0</v>
      </c>
      <c r="EY17" s="17">
        <v>75472</v>
      </c>
      <c r="EZ17" s="17">
        <v>75472</v>
      </c>
      <c r="FA17" s="17">
        <v>75472</v>
      </c>
      <c r="FB17" s="17">
        <v>75472</v>
      </c>
      <c r="FC17" s="17">
        <v>75472</v>
      </c>
      <c r="FD17" s="17">
        <v>75472</v>
      </c>
      <c r="FE17" s="17">
        <v>75472</v>
      </c>
      <c r="FF17" s="17">
        <v>102036</v>
      </c>
      <c r="FG17" s="17">
        <v>102036</v>
      </c>
      <c r="FH17" s="17">
        <v>102036</v>
      </c>
      <c r="FI17" s="17">
        <v>102036</v>
      </c>
      <c r="FJ17" s="17">
        <v>102036</v>
      </c>
      <c r="FK17" s="17">
        <v>102036</v>
      </c>
      <c r="FL17" s="17">
        <v>102036</v>
      </c>
      <c r="FM17" s="17">
        <v>105187</v>
      </c>
      <c r="FN17" s="17">
        <v>105187</v>
      </c>
      <c r="FO17" s="17">
        <v>108036</v>
      </c>
      <c r="FP17" s="17">
        <v>108036</v>
      </c>
      <c r="FQ17" s="17">
        <v>108036</v>
      </c>
      <c r="FR17" s="17">
        <v>108036</v>
      </c>
      <c r="FS17" s="17">
        <v>108036</v>
      </c>
      <c r="FT17" s="17">
        <v>109036</v>
      </c>
      <c r="FU17" s="17">
        <v>109036</v>
      </c>
      <c r="FV17" s="17">
        <v>111536</v>
      </c>
      <c r="FW17" s="17">
        <v>114036</v>
      </c>
      <c r="FX17" s="17">
        <v>116536</v>
      </c>
      <c r="FY17" s="17">
        <v>119036</v>
      </c>
      <c r="FZ17" s="17">
        <v>121536</v>
      </c>
      <c r="GA17" s="17">
        <v>124036</v>
      </c>
      <c r="GB17" s="17">
        <v>124036</v>
      </c>
      <c r="GC17" s="17">
        <v>126536</v>
      </c>
      <c r="GD17" s="17">
        <v>129036</v>
      </c>
      <c r="GE17" s="17">
        <v>131536</v>
      </c>
      <c r="GF17" s="17">
        <v>134036</v>
      </c>
      <c r="GG17" s="17">
        <v>136536</v>
      </c>
      <c r="GH17" s="17">
        <v>139036</v>
      </c>
      <c r="GI17" s="17">
        <v>139036</v>
      </c>
      <c r="GJ17" s="17">
        <v>139036</v>
      </c>
      <c r="GK17" s="17">
        <v>139036</v>
      </c>
      <c r="GL17" s="17">
        <v>139036</v>
      </c>
      <c r="GM17" s="17">
        <v>139036</v>
      </c>
      <c r="GN17" s="17">
        <v>139036</v>
      </c>
      <c r="GO17" s="17">
        <f>169036-27000</f>
        <v>142036</v>
      </c>
      <c r="GP17" s="17">
        <v>149669</v>
      </c>
      <c r="GQ17" s="17">
        <v>149669</v>
      </c>
      <c r="GR17" s="17">
        <v>156680</v>
      </c>
      <c r="GS17" s="17">
        <v>156680</v>
      </c>
      <c r="GT17" s="17">
        <v>156680</v>
      </c>
      <c r="GU17" s="17">
        <v>156680</v>
      </c>
      <c r="GV17" s="17">
        <v>156680</v>
      </c>
      <c r="GW17" s="17">
        <v>173460</v>
      </c>
      <c r="GX17" s="17">
        <v>176809</v>
      </c>
      <c r="GY17" s="17">
        <v>176809</v>
      </c>
      <c r="GZ17" s="17">
        <v>176809</v>
      </c>
      <c r="HA17" s="17">
        <v>176809</v>
      </c>
      <c r="HB17" s="17">
        <v>176809</v>
      </c>
      <c r="HC17" s="17">
        <v>180468</v>
      </c>
      <c r="HD17" s="17">
        <v>180468</v>
      </c>
      <c r="HE17" s="17">
        <v>183709</v>
      </c>
      <c r="HF17" s="17">
        <v>183709</v>
      </c>
      <c r="HG17" s="17">
        <v>183709</v>
      </c>
      <c r="HH17" s="17">
        <v>183709</v>
      </c>
      <c r="HI17" s="17">
        <v>183709</v>
      </c>
      <c r="HJ17" s="17">
        <v>184020</v>
      </c>
      <c r="HK17" s="17">
        <v>184020</v>
      </c>
      <c r="HL17" s="17">
        <v>187159</v>
      </c>
      <c r="HM17" s="17">
        <v>187159</v>
      </c>
      <c r="HN17" s="17">
        <v>187159</v>
      </c>
      <c r="HO17" s="17">
        <v>187159</v>
      </c>
      <c r="HP17" s="17">
        <v>187159</v>
      </c>
      <c r="HQ17" s="17">
        <v>187668</v>
      </c>
      <c r="HR17" s="17">
        <v>187668</v>
      </c>
      <c r="HS17" s="17">
        <v>190609</v>
      </c>
      <c r="HT17" s="17">
        <v>190609</v>
      </c>
      <c r="HU17" s="17">
        <v>190609</v>
      </c>
      <c r="HV17" s="17">
        <v>190609</v>
      </c>
      <c r="HW17" s="17">
        <v>190609</v>
      </c>
      <c r="HX17" s="17">
        <v>191508</v>
      </c>
      <c r="HY17" s="17">
        <v>191508</v>
      </c>
      <c r="HZ17" s="17">
        <v>194059</v>
      </c>
      <c r="IA17" s="17">
        <v>194059</v>
      </c>
      <c r="IB17" s="17">
        <v>194059</v>
      </c>
      <c r="IC17" s="17">
        <v>194059</v>
      </c>
      <c r="ID17" s="17">
        <v>194059</v>
      </c>
      <c r="IE17" s="17">
        <v>194964</v>
      </c>
      <c r="IF17" s="17">
        <v>194964</v>
      </c>
      <c r="IG17" s="17">
        <v>197509</v>
      </c>
      <c r="IH17" s="17">
        <v>197509</v>
      </c>
      <c r="II17" s="17">
        <v>197509</v>
      </c>
      <c r="IJ17" s="17">
        <v>197509</v>
      </c>
      <c r="IK17" s="17">
        <v>197509</v>
      </c>
      <c r="IL17" s="17">
        <v>198420</v>
      </c>
      <c r="IM17" s="17">
        <v>198420</v>
      </c>
      <c r="IN17" s="17">
        <v>200959</v>
      </c>
      <c r="IO17" s="17">
        <v>200959</v>
      </c>
      <c r="IP17" s="17">
        <v>200959</v>
      </c>
      <c r="IQ17" s="17">
        <v>200959</v>
      </c>
      <c r="IR17" s="17">
        <v>200959</v>
      </c>
      <c r="IS17" s="17">
        <v>201876</v>
      </c>
      <c r="IT17" s="17">
        <v>201876</v>
      </c>
      <c r="IU17" s="17">
        <v>204409</v>
      </c>
      <c r="IV17" s="17">
        <v>204409</v>
      </c>
      <c r="IW17" s="17">
        <v>204409</v>
      </c>
      <c r="IX17" s="17">
        <v>204409</v>
      </c>
      <c r="IY17" s="17">
        <v>204409</v>
      </c>
      <c r="IZ17" s="17">
        <v>205290</v>
      </c>
      <c r="JA17" s="17">
        <v>205290</v>
      </c>
      <c r="JB17" s="17">
        <v>205290</v>
      </c>
      <c r="JC17" s="17">
        <v>205290</v>
      </c>
      <c r="JD17" s="17">
        <v>205290</v>
      </c>
      <c r="JE17" s="17">
        <v>205290</v>
      </c>
      <c r="JF17" s="17">
        <v>205290</v>
      </c>
      <c r="JG17" s="17">
        <v>205290</v>
      </c>
      <c r="JH17" s="17">
        <v>205290</v>
      </c>
      <c r="JI17" s="17">
        <v>205290</v>
      </c>
      <c r="JJ17" s="17">
        <v>205290</v>
      </c>
      <c r="JK17" s="17">
        <v>205290</v>
      </c>
      <c r="JL17" s="17">
        <v>205290</v>
      </c>
      <c r="JM17" s="17">
        <v>205290</v>
      </c>
      <c r="JN17" s="17">
        <v>205290</v>
      </c>
      <c r="JO17" s="17">
        <v>205290</v>
      </c>
      <c r="JP17" s="17">
        <v>205290</v>
      </c>
      <c r="JQ17" s="17">
        <v>205290</v>
      </c>
      <c r="JR17" s="17">
        <v>205290</v>
      </c>
      <c r="JS17" s="17">
        <v>205290</v>
      </c>
      <c r="JT17" s="17">
        <v>205290</v>
      </c>
      <c r="JU17" s="17">
        <v>205290</v>
      </c>
      <c r="JV17" s="17">
        <v>205290</v>
      </c>
      <c r="JW17" s="17">
        <v>205290</v>
      </c>
      <c r="JX17" s="17">
        <v>205290</v>
      </c>
      <c r="JY17" s="17">
        <v>205290</v>
      </c>
      <c r="JZ17" s="17">
        <v>205290</v>
      </c>
      <c r="KA17" s="17">
        <v>205290</v>
      </c>
      <c r="KB17" s="17">
        <v>205290</v>
      </c>
      <c r="KC17" s="17">
        <v>205290</v>
      </c>
      <c r="KD17" s="17">
        <v>205290</v>
      </c>
      <c r="KE17" s="17">
        <v>205290</v>
      </c>
      <c r="KF17" s="17">
        <v>205290</v>
      </c>
      <c r="KG17" s="17">
        <v>205290</v>
      </c>
      <c r="KH17" s="17">
        <v>205290</v>
      </c>
      <c r="KI17" s="17">
        <v>205290</v>
      </c>
      <c r="KJ17" s="17">
        <v>205290</v>
      </c>
      <c r="KK17" s="17">
        <v>205290</v>
      </c>
      <c r="KL17" s="17">
        <v>205290</v>
      </c>
      <c r="KM17" s="17">
        <v>205290</v>
      </c>
      <c r="KN17" s="17">
        <v>205290</v>
      </c>
      <c r="KO17" s="17">
        <v>205290</v>
      </c>
      <c r="KP17" s="17">
        <v>205290</v>
      </c>
      <c r="KQ17" s="17">
        <v>205290</v>
      </c>
      <c r="KR17" s="17">
        <v>205290</v>
      </c>
      <c r="KS17" s="17">
        <v>205290</v>
      </c>
      <c r="KT17" s="17">
        <v>205290</v>
      </c>
      <c r="KU17" s="17">
        <v>205290</v>
      </c>
      <c r="KV17" s="17">
        <v>205290</v>
      </c>
      <c r="KW17" s="17">
        <v>205290</v>
      </c>
      <c r="KX17" s="17">
        <v>205290</v>
      </c>
      <c r="KY17" s="17">
        <v>205290</v>
      </c>
      <c r="KZ17" s="17">
        <v>205290</v>
      </c>
      <c r="LA17" s="17">
        <v>205290</v>
      </c>
      <c r="LB17" s="17">
        <v>205290</v>
      </c>
      <c r="LC17" s="17">
        <v>205290</v>
      </c>
      <c r="LD17" s="17">
        <v>205290</v>
      </c>
      <c r="LE17" s="17">
        <v>205290</v>
      </c>
      <c r="LF17" s="17">
        <v>205290</v>
      </c>
      <c r="LG17" s="17">
        <v>205290</v>
      </c>
      <c r="LH17" s="17">
        <v>205290</v>
      </c>
      <c r="LI17" s="17">
        <v>205290</v>
      </c>
      <c r="LJ17" s="17">
        <v>205290</v>
      </c>
      <c r="LK17" s="17">
        <v>205290</v>
      </c>
      <c r="LL17" s="17">
        <v>205290</v>
      </c>
      <c r="LM17" s="17">
        <v>205290</v>
      </c>
      <c r="LN17" s="17">
        <v>205290</v>
      </c>
      <c r="LO17" s="17">
        <v>205290</v>
      </c>
      <c r="LP17" s="17">
        <v>205290</v>
      </c>
      <c r="LQ17" s="17">
        <v>205290</v>
      </c>
      <c r="LR17" s="17">
        <v>205290</v>
      </c>
      <c r="LS17" s="17">
        <v>205290</v>
      </c>
      <c r="LT17" s="17">
        <v>205290</v>
      </c>
      <c r="LU17" s="17">
        <v>205290</v>
      </c>
      <c r="LV17" s="17">
        <v>205290</v>
      </c>
      <c r="LW17" s="17">
        <v>205290</v>
      </c>
      <c r="LX17" s="17">
        <v>205290</v>
      </c>
      <c r="LY17" s="17">
        <v>205290</v>
      </c>
      <c r="LZ17" s="17">
        <v>205290</v>
      </c>
      <c r="MA17" s="17">
        <v>205290</v>
      </c>
      <c r="MB17" s="17">
        <v>205290</v>
      </c>
      <c r="MC17" s="17">
        <v>205290</v>
      </c>
      <c r="MD17" s="17">
        <v>207859</v>
      </c>
      <c r="ME17" s="17">
        <v>207859</v>
      </c>
      <c r="MF17" s="17">
        <v>207859</v>
      </c>
      <c r="MG17" s="17">
        <v>207859</v>
      </c>
      <c r="MH17" s="17">
        <v>207859</v>
      </c>
      <c r="MI17" s="17">
        <v>207859</v>
      </c>
      <c r="MJ17" s="17">
        <v>207859</v>
      </c>
      <c r="MK17" s="17">
        <v>207859</v>
      </c>
      <c r="ML17" s="17">
        <v>207859</v>
      </c>
      <c r="MM17" s="17">
        <v>207859</v>
      </c>
      <c r="MN17" s="17">
        <v>207859</v>
      </c>
      <c r="MO17" s="17">
        <v>207859</v>
      </c>
      <c r="MP17" s="17">
        <v>207859</v>
      </c>
      <c r="MQ17" s="17">
        <v>207859</v>
      </c>
      <c r="MR17" s="17">
        <v>207859</v>
      </c>
      <c r="MS17" s="17">
        <v>207859</v>
      </c>
      <c r="MT17" s="17">
        <v>207859</v>
      </c>
      <c r="MU17" s="17">
        <v>207859</v>
      </c>
      <c r="MV17" s="17">
        <v>207859</v>
      </c>
      <c r="MW17" s="17">
        <v>207859</v>
      </c>
      <c r="MX17" s="17">
        <v>207859</v>
      </c>
      <c r="MY17" s="17">
        <v>207859</v>
      </c>
      <c r="MZ17" s="17">
        <v>207859</v>
      </c>
      <c r="NA17" s="17">
        <v>207859</v>
      </c>
      <c r="NB17" s="17">
        <v>207859</v>
      </c>
      <c r="NC17" s="17">
        <v>207859</v>
      </c>
      <c r="ND17" s="17">
        <v>207859</v>
      </c>
      <c r="NE17" s="17">
        <v>207859</v>
      </c>
      <c r="NF17" s="17">
        <v>207859</v>
      </c>
      <c r="NG17" s="17">
        <v>207859</v>
      </c>
      <c r="NH17" s="17">
        <v>207859</v>
      </c>
      <c r="NI17" s="17">
        <v>207859</v>
      </c>
      <c r="NJ17" s="17">
        <v>207859</v>
      </c>
      <c r="NK17" s="17">
        <v>207859</v>
      </c>
      <c r="NL17" s="17">
        <v>207859</v>
      </c>
      <c r="NM17" s="17">
        <v>207859</v>
      </c>
      <c r="NN17" s="17">
        <v>207859</v>
      </c>
      <c r="NO17" s="17">
        <v>207859</v>
      </c>
      <c r="NP17" s="17">
        <v>207859</v>
      </c>
      <c r="NQ17" s="17">
        <v>207859</v>
      </c>
      <c r="NR17" s="17">
        <v>207859</v>
      </c>
      <c r="NS17" s="17">
        <v>207859</v>
      </c>
      <c r="NT17" s="17">
        <v>207859</v>
      </c>
      <c r="NU17" s="17">
        <v>207859</v>
      </c>
      <c r="NV17" s="17">
        <v>207859</v>
      </c>
      <c r="NW17" s="17">
        <v>207859</v>
      </c>
      <c r="NX17" s="17">
        <v>207859</v>
      </c>
      <c r="NY17" s="17">
        <v>207859</v>
      </c>
      <c r="NZ17" s="17">
        <v>207859</v>
      </c>
      <c r="OA17" s="17">
        <v>207859</v>
      </c>
      <c r="OB17" s="17">
        <v>207859</v>
      </c>
      <c r="OC17" s="17">
        <v>207859</v>
      </c>
      <c r="OD17" s="17">
        <v>207859</v>
      </c>
      <c r="OE17" s="17">
        <v>207859</v>
      </c>
      <c r="OF17" s="17">
        <v>207859</v>
      </c>
      <c r="OG17" s="17">
        <v>207859</v>
      </c>
      <c r="OH17" s="17">
        <v>207859</v>
      </c>
      <c r="OI17" s="17">
        <v>207859</v>
      </c>
      <c r="OJ17" s="17">
        <v>207859</v>
      </c>
      <c r="OK17" s="17">
        <v>207859</v>
      </c>
      <c r="OL17" s="17">
        <v>207859</v>
      </c>
      <c r="OM17" s="17">
        <v>207859</v>
      </c>
      <c r="ON17" s="17">
        <v>207859</v>
      </c>
      <c r="OO17" s="17">
        <v>207859</v>
      </c>
      <c r="OP17" s="17">
        <v>207859</v>
      </c>
      <c r="OQ17" s="17">
        <v>207859</v>
      </c>
      <c r="OR17" s="17">
        <v>207859</v>
      </c>
      <c r="OS17" s="17">
        <v>207859</v>
      </c>
      <c r="OT17" s="17">
        <v>207859</v>
      </c>
      <c r="OU17" s="17">
        <v>207859</v>
      </c>
      <c r="OV17" s="17">
        <v>207859</v>
      </c>
      <c r="OW17" s="17">
        <v>207859</v>
      </c>
      <c r="OX17" s="17">
        <v>207859</v>
      </c>
      <c r="OY17" s="17">
        <v>207859</v>
      </c>
      <c r="OZ17" s="17">
        <v>207859</v>
      </c>
      <c r="PA17" s="17">
        <v>207859</v>
      </c>
      <c r="PB17" s="17">
        <v>207859</v>
      </c>
      <c r="PC17" s="17">
        <v>207859</v>
      </c>
      <c r="PD17" s="17">
        <v>207859</v>
      </c>
      <c r="PE17" s="17">
        <v>207859</v>
      </c>
      <c r="PF17" s="17">
        <v>207859</v>
      </c>
      <c r="PG17" s="17">
        <v>207859</v>
      </c>
      <c r="PH17" s="17">
        <v>207859</v>
      </c>
      <c r="PI17" s="17">
        <v>207859</v>
      </c>
      <c r="PJ17" s="17">
        <v>207859</v>
      </c>
      <c r="PK17" s="17">
        <v>207859</v>
      </c>
      <c r="PL17" s="17">
        <v>207859</v>
      </c>
    </row>
    <row r="18" spans="1:428" s="12" customFormat="1" outlineLevel="1">
      <c r="A18" s="20" t="s">
        <v>19</v>
      </c>
      <c r="B18" s="12" t="s">
        <v>21</v>
      </c>
      <c r="C18" s="12" t="str">
        <f t="shared" si="21"/>
        <v>LensSlim OvalIvory</v>
      </c>
      <c r="D18" s="12" t="s">
        <v>33</v>
      </c>
      <c r="E18" s="16" t="s">
        <v>14</v>
      </c>
      <c r="F18" s="13" t="s">
        <v>10</v>
      </c>
      <c r="G18" s="13" t="s">
        <v>26</v>
      </c>
      <c r="H18" s="14">
        <v>318003500691</v>
      </c>
      <c r="I18" s="13"/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0</v>
      </c>
      <c r="DW18" s="17">
        <v>0</v>
      </c>
      <c r="DX18" s="17">
        <v>0</v>
      </c>
      <c r="DY18" s="17">
        <v>0</v>
      </c>
      <c r="DZ18" s="17">
        <v>0</v>
      </c>
      <c r="EA18" s="17">
        <v>0</v>
      </c>
      <c r="EB18" s="17">
        <v>0</v>
      </c>
      <c r="EC18" s="17">
        <v>0</v>
      </c>
      <c r="ED18" s="17">
        <v>0</v>
      </c>
      <c r="EE18" s="17">
        <v>0</v>
      </c>
      <c r="EF18" s="17">
        <v>0</v>
      </c>
      <c r="EG18" s="17">
        <v>0</v>
      </c>
      <c r="EH18" s="17">
        <v>0</v>
      </c>
      <c r="EI18" s="17">
        <v>0</v>
      </c>
      <c r="EJ18" s="17">
        <v>0</v>
      </c>
      <c r="EK18" s="17">
        <v>0</v>
      </c>
      <c r="EL18" s="17">
        <v>0</v>
      </c>
      <c r="EM18" s="17">
        <v>0</v>
      </c>
      <c r="EN18" s="17">
        <v>0</v>
      </c>
      <c r="EO18" s="17">
        <v>0</v>
      </c>
      <c r="EP18" s="17">
        <v>0</v>
      </c>
      <c r="EQ18" s="17">
        <v>0</v>
      </c>
      <c r="ER18" s="17">
        <v>0</v>
      </c>
      <c r="ES18" s="17">
        <v>0</v>
      </c>
      <c r="ET18" s="17">
        <v>0</v>
      </c>
      <c r="EU18" s="17">
        <v>0</v>
      </c>
      <c r="EV18" s="17">
        <v>0</v>
      </c>
      <c r="EW18" s="17">
        <v>0</v>
      </c>
      <c r="EX18" s="17">
        <v>0</v>
      </c>
      <c r="EY18" s="17">
        <v>0</v>
      </c>
      <c r="EZ18" s="17">
        <v>0</v>
      </c>
      <c r="FA18" s="17">
        <v>0</v>
      </c>
      <c r="FB18" s="17">
        <v>0</v>
      </c>
      <c r="FC18" s="17">
        <v>0</v>
      </c>
      <c r="FD18" s="17">
        <v>0</v>
      </c>
      <c r="FE18" s="17">
        <v>0</v>
      </c>
      <c r="FF18" s="17">
        <v>0</v>
      </c>
      <c r="FG18" s="17">
        <v>0</v>
      </c>
      <c r="FH18" s="17">
        <v>0</v>
      </c>
      <c r="FI18" s="17">
        <v>0</v>
      </c>
      <c r="FJ18" s="17">
        <v>0</v>
      </c>
      <c r="FK18" s="17">
        <v>0</v>
      </c>
      <c r="FL18" s="17">
        <v>0</v>
      </c>
      <c r="FM18" s="17">
        <v>0</v>
      </c>
      <c r="FN18" s="17">
        <v>0</v>
      </c>
      <c r="FO18" s="17">
        <f t="shared" ref="FO18:GG18" si="22">2000-96-950</f>
        <v>954</v>
      </c>
      <c r="FP18" s="17">
        <f t="shared" si="22"/>
        <v>954</v>
      </c>
      <c r="FQ18" s="17">
        <f t="shared" si="22"/>
        <v>954</v>
      </c>
      <c r="FR18" s="17">
        <f t="shared" si="22"/>
        <v>954</v>
      </c>
      <c r="FS18" s="17">
        <f t="shared" si="22"/>
        <v>954</v>
      </c>
      <c r="FT18" s="17">
        <f t="shared" si="22"/>
        <v>954</v>
      </c>
      <c r="FU18" s="17">
        <f t="shared" si="22"/>
        <v>954</v>
      </c>
      <c r="FV18" s="17">
        <f t="shared" si="22"/>
        <v>954</v>
      </c>
      <c r="FW18" s="17">
        <f t="shared" si="22"/>
        <v>954</v>
      </c>
      <c r="FX18" s="17">
        <f t="shared" si="22"/>
        <v>954</v>
      </c>
      <c r="FY18" s="17">
        <f t="shared" si="22"/>
        <v>954</v>
      </c>
      <c r="FZ18" s="17">
        <f t="shared" si="22"/>
        <v>954</v>
      </c>
      <c r="GA18" s="17">
        <f t="shared" si="22"/>
        <v>954</v>
      </c>
      <c r="GB18" s="17">
        <f t="shared" si="22"/>
        <v>954</v>
      </c>
      <c r="GC18" s="17">
        <f t="shared" si="22"/>
        <v>954</v>
      </c>
      <c r="GD18" s="17">
        <f t="shared" si="22"/>
        <v>954</v>
      </c>
      <c r="GE18" s="17">
        <f t="shared" si="22"/>
        <v>954</v>
      </c>
      <c r="GF18" s="17">
        <f t="shared" si="22"/>
        <v>954</v>
      </c>
      <c r="GG18" s="17">
        <f t="shared" si="22"/>
        <v>954</v>
      </c>
      <c r="GH18" s="17">
        <f>2000-96-950+5400-2837</f>
        <v>3517</v>
      </c>
      <c r="GI18" s="17">
        <f>2000-96-950+5400-2837</f>
        <v>3517</v>
      </c>
      <c r="GJ18" s="17">
        <f t="shared" ref="GJ18:GV18" si="23">2000-96-950+5400-2837</f>
        <v>3517</v>
      </c>
      <c r="GK18" s="17">
        <f t="shared" si="23"/>
        <v>3517</v>
      </c>
      <c r="GL18" s="17">
        <f t="shared" si="23"/>
        <v>3517</v>
      </c>
      <c r="GM18" s="17">
        <f t="shared" si="23"/>
        <v>3517</v>
      </c>
      <c r="GN18" s="17">
        <f t="shared" si="23"/>
        <v>3517</v>
      </c>
      <c r="GO18" s="17">
        <f t="shared" si="23"/>
        <v>3517</v>
      </c>
      <c r="GP18" s="17">
        <f t="shared" si="23"/>
        <v>3517</v>
      </c>
      <c r="GQ18" s="17">
        <f t="shared" si="23"/>
        <v>3517</v>
      </c>
      <c r="GR18" s="17">
        <f t="shared" si="23"/>
        <v>3517</v>
      </c>
      <c r="GS18" s="17">
        <f t="shared" si="23"/>
        <v>3517</v>
      </c>
      <c r="GT18" s="17">
        <f t="shared" si="23"/>
        <v>3517</v>
      </c>
      <c r="GU18" s="17">
        <f t="shared" si="23"/>
        <v>3517</v>
      </c>
      <c r="GV18" s="17">
        <f t="shared" si="23"/>
        <v>3517</v>
      </c>
      <c r="GW18" s="17">
        <v>8750</v>
      </c>
      <c r="GX18" s="17">
        <v>9750</v>
      </c>
      <c r="GY18" s="17">
        <v>10750</v>
      </c>
      <c r="GZ18" s="17">
        <v>11750</v>
      </c>
      <c r="HA18" s="17">
        <v>12750</v>
      </c>
      <c r="HB18" s="17">
        <v>13750</v>
      </c>
      <c r="HC18" s="17">
        <v>14750</v>
      </c>
      <c r="HD18" s="17">
        <v>14750</v>
      </c>
      <c r="HE18" s="17">
        <v>15750</v>
      </c>
      <c r="HF18" s="17">
        <v>16750</v>
      </c>
      <c r="HG18" s="17">
        <v>17750</v>
      </c>
      <c r="HH18" s="17">
        <v>18750</v>
      </c>
      <c r="HI18" s="17">
        <v>19750</v>
      </c>
      <c r="HJ18" s="17">
        <v>20750</v>
      </c>
      <c r="HK18" s="17">
        <v>20750</v>
      </c>
      <c r="HL18" s="17">
        <v>21750</v>
      </c>
      <c r="HM18" s="17">
        <v>22750</v>
      </c>
      <c r="HN18" s="17">
        <v>23750</v>
      </c>
      <c r="HO18" s="17">
        <v>24750</v>
      </c>
      <c r="HP18" s="17">
        <v>25750</v>
      </c>
      <c r="HQ18" s="17">
        <v>25750</v>
      </c>
      <c r="HR18" s="17">
        <v>25750</v>
      </c>
      <c r="HS18" s="17">
        <v>27750</v>
      </c>
      <c r="HT18" s="17">
        <v>27750</v>
      </c>
      <c r="HU18" s="17">
        <v>27750</v>
      </c>
      <c r="HV18" s="17">
        <v>27750</v>
      </c>
      <c r="HW18" s="17">
        <v>27750</v>
      </c>
      <c r="HX18" s="17">
        <v>27750</v>
      </c>
      <c r="HY18" s="17">
        <v>27750</v>
      </c>
      <c r="HZ18" s="17">
        <v>31205</v>
      </c>
      <c r="IA18" s="17">
        <v>31205</v>
      </c>
      <c r="IB18" s="17">
        <v>31205</v>
      </c>
      <c r="IC18" s="17">
        <v>31205</v>
      </c>
      <c r="ID18" s="17">
        <v>31205</v>
      </c>
      <c r="IE18" s="17">
        <v>31805</v>
      </c>
      <c r="IF18" s="17">
        <v>31805</v>
      </c>
      <c r="IG18" s="17">
        <v>31805</v>
      </c>
      <c r="IH18" s="17">
        <v>31805</v>
      </c>
      <c r="II18" s="17">
        <v>31805</v>
      </c>
      <c r="IJ18" s="17">
        <v>31805</v>
      </c>
      <c r="IK18" s="17">
        <v>31805</v>
      </c>
      <c r="IL18" s="17">
        <v>32405</v>
      </c>
      <c r="IM18" s="17">
        <v>32405</v>
      </c>
      <c r="IN18" s="17">
        <v>32405</v>
      </c>
      <c r="IO18" s="17">
        <v>32405</v>
      </c>
      <c r="IP18" s="17">
        <v>32405</v>
      </c>
      <c r="IQ18" s="17">
        <v>32405</v>
      </c>
      <c r="IR18" s="17">
        <v>32405</v>
      </c>
      <c r="IS18" s="17">
        <v>33005</v>
      </c>
      <c r="IT18" s="17">
        <v>33005</v>
      </c>
      <c r="IU18" s="17">
        <v>33005</v>
      </c>
      <c r="IV18" s="17">
        <v>33005</v>
      </c>
      <c r="IW18" s="17">
        <v>33005</v>
      </c>
      <c r="IX18" s="17">
        <v>33005</v>
      </c>
      <c r="IY18" s="17">
        <v>33005</v>
      </c>
      <c r="IZ18" s="17">
        <v>33605</v>
      </c>
      <c r="JA18" s="17">
        <v>33605</v>
      </c>
      <c r="JB18" s="17">
        <v>33605</v>
      </c>
      <c r="JC18" s="17">
        <v>33605</v>
      </c>
      <c r="JD18" s="17">
        <v>33605</v>
      </c>
      <c r="JE18" s="17">
        <v>33605</v>
      </c>
      <c r="JF18" s="17">
        <v>33605</v>
      </c>
      <c r="JG18" s="17">
        <v>33605</v>
      </c>
      <c r="JH18" s="17">
        <v>33605</v>
      </c>
      <c r="JI18" s="17">
        <v>33605</v>
      </c>
      <c r="JJ18" s="17">
        <v>33605</v>
      </c>
      <c r="JK18" s="17">
        <v>33605</v>
      </c>
      <c r="JL18" s="17">
        <v>33605</v>
      </c>
      <c r="JM18" s="17">
        <v>33605</v>
      </c>
      <c r="JN18" s="17">
        <v>33605</v>
      </c>
      <c r="JO18" s="17">
        <v>33605</v>
      </c>
      <c r="JP18" s="17">
        <v>33605</v>
      </c>
      <c r="JQ18" s="17">
        <v>33605</v>
      </c>
      <c r="JR18" s="17">
        <v>33605</v>
      </c>
      <c r="JS18" s="17">
        <v>33605</v>
      </c>
      <c r="JT18" s="17">
        <v>33605</v>
      </c>
      <c r="JU18" s="17">
        <v>33605</v>
      </c>
      <c r="JV18" s="17">
        <v>33605</v>
      </c>
      <c r="JW18" s="17">
        <v>33605</v>
      </c>
      <c r="JX18" s="17">
        <v>33605</v>
      </c>
      <c r="JY18" s="17">
        <v>33605</v>
      </c>
      <c r="JZ18" s="17">
        <v>33605</v>
      </c>
      <c r="KA18" s="17">
        <v>33605</v>
      </c>
      <c r="KB18" s="17">
        <v>33605</v>
      </c>
      <c r="KC18" s="17">
        <v>33605</v>
      </c>
      <c r="KD18" s="17">
        <v>33605</v>
      </c>
      <c r="KE18" s="17">
        <v>33605</v>
      </c>
      <c r="KF18" s="17">
        <v>33605</v>
      </c>
      <c r="KG18" s="17">
        <v>33605</v>
      </c>
      <c r="KH18" s="17">
        <v>33605</v>
      </c>
      <c r="KI18" s="17">
        <v>33605</v>
      </c>
      <c r="KJ18" s="17">
        <v>33605</v>
      </c>
      <c r="KK18" s="17">
        <v>33605</v>
      </c>
      <c r="KL18" s="17">
        <v>33605</v>
      </c>
      <c r="KM18" s="17">
        <v>33605</v>
      </c>
      <c r="KN18" s="17">
        <v>33605</v>
      </c>
      <c r="KO18" s="17">
        <v>33605</v>
      </c>
      <c r="KP18" s="17">
        <v>33605</v>
      </c>
      <c r="KQ18" s="17">
        <v>33605</v>
      </c>
      <c r="KR18" s="17">
        <v>33605</v>
      </c>
      <c r="KS18" s="17">
        <v>33605</v>
      </c>
      <c r="KT18" s="17">
        <v>33605</v>
      </c>
      <c r="KU18" s="17">
        <v>33605</v>
      </c>
      <c r="KV18" s="17">
        <v>33605</v>
      </c>
      <c r="KW18" s="17">
        <v>33605</v>
      </c>
      <c r="KX18" s="17">
        <v>33605</v>
      </c>
      <c r="KY18" s="17">
        <v>33605</v>
      </c>
      <c r="KZ18" s="17">
        <v>33605</v>
      </c>
      <c r="LA18" s="17">
        <v>33605</v>
      </c>
      <c r="LB18" s="17">
        <v>33605</v>
      </c>
      <c r="LC18" s="17">
        <v>33605</v>
      </c>
      <c r="LD18" s="17">
        <v>33605</v>
      </c>
      <c r="LE18" s="17">
        <v>33605</v>
      </c>
      <c r="LF18" s="17">
        <v>33605</v>
      </c>
      <c r="LG18" s="17">
        <v>33605</v>
      </c>
      <c r="LH18" s="17">
        <v>33605</v>
      </c>
      <c r="LI18" s="17">
        <v>33605</v>
      </c>
      <c r="LJ18" s="17">
        <v>33605</v>
      </c>
      <c r="LK18" s="17">
        <v>33605</v>
      </c>
      <c r="LL18" s="17">
        <v>33605</v>
      </c>
      <c r="LM18" s="17">
        <v>33605</v>
      </c>
      <c r="LN18" s="17">
        <v>33605</v>
      </c>
      <c r="LO18" s="17">
        <v>33605</v>
      </c>
      <c r="LP18" s="17">
        <v>33605</v>
      </c>
      <c r="LQ18" s="17">
        <v>33605</v>
      </c>
      <c r="LR18" s="17">
        <v>33605</v>
      </c>
      <c r="LS18" s="17">
        <v>33605</v>
      </c>
      <c r="LT18" s="17">
        <v>33605</v>
      </c>
      <c r="LU18" s="17">
        <v>33605</v>
      </c>
      <c r="LV18" s="17">
        <v>33605</v>
      </c>
      <c r="LW18" s="17">
        <v>33605</v>
      </c>
      <c r="LX18" s="17">
        <v>33605</v>
      </c>
      <c r="LY18" s="17">
        <v>33605</v>
      </c>
      <c r="LZ18" s="17">
        <v>33605</v>
      </c>
      <c r="MA18" s="17">
        <v>33605</v>
      </c>
      <c r="MB18" s="17">
        <v>33605</v>
      </c>
      <c r="MC18" s="17">
        <v>33605</v>
      </c>
      <c r="MD18" s="17">
        <v>33605</v>
      </c>
      <c r="ME18" s="17">
        <v>33605</v>
      </c>
      <c r="MF18" s="17">
        <v>33605</v>
      </c>
      <c r="MG18" s="17">
        <v>33605</v>
      </c>
      <c r="MH18" s="17">
        <v>33605</v>
      </c>
      <c r="MI18" s="17">
        <v>33605</v>
      </c>
      <c r="MJ18" s="17">
        <v>33605</v>
      </c>
      <c r="MK18" s="17">
        <v>33605</v>
      </c>
      <c r="ML18" s="17">
        <v>33605</v>
      </c>
      <c r="MM18" s="17">
        <v>33605</v>
      </c>
      <c r="MN18" s="17">
        <v>33605</v>
      </c>
      <c r="MO18" s="17">
        <v>33605</v>
      </c>
      <c r="MP18" s="17">
        <v>33605</v>
      </c>
      <c r="MQ18" s="17">
        <v>33605</v>
      </c>
      <c r="MR18" s="17">
        <v>33605</v>
      </c>
      <c r="MS18" s="17">
        <v>33605</v>
      </c>
      <c r="MT18" s="17">
        <v>33605</v>
      </c>
      <c r="MU18" s="17">
        <v>33605</v>
      </c>
      <c r="MV18" s="17">
        <v>33605</v>
      </c>
      <c r="MW18" s="17">
        <v>33605</v>
      </c>
      <c r="MX18" s="17">
        <v>33605</v>
      </c>
      <c r="MY18" s="17">
        <v>33605</v>
      </c>
      <c r="MZ18" s="17">
        <v>33605</v>
      </c>
      <c r="NA18" s="17">
        <v>33605</v>
      </c>
      <c r="NB18" s="17">
        <v>33605</v>
      </c>
      <c r="NC18" s="17">
        <v>33605</v>
      </c>
      <c r="ND18" s="17">
        <v>33605</v>
      </c>
      <c r="NE18" s="17">
        <v>33605</v>
      </c>
      <c r="NF18" s="17">
        <v>33605</v>
      </c>
      <c r="NG18" s="17">
        <v>33605</v>
      </c>
      <c r="NH18" s="17">
        <v>33605</v>
      </c>
      <c r="NI18" s="17">
        <v>33605</v>
      </c>
      <c r="NJ18" s="17">
        <v>33605</v>
      </c>
      <c r="NK18" s="17">
        <v>33605</v>
      </c>
      <c r="NL18" s="17">
        <v>33605</v>
      </c>
      <c r="NM18" s="17">
        <v>33605</v>
      </c>
      <c r="NN18" s="17">
        <v>33605</v>
      </c>
      <c r="NO18" s="17">
        <v>33605</v>
      </c>
      <c r="NP18" s="17">
        <v>33605</v>
      </c>
      <c r="NQ18" s="17">
        <v>33605</v>
      </c>
      <c r="NR18" s="17">
        <v>33605</v>
      </c>
      <c r="NS18" s="17">
        <v>33605</v>
      </c>
      <c r="NT18" s="17">
        <v>33605</v>
      </c>
      <c r="NU18" s="17">
        <v>33605</v>
      </c>
      <c r="NV18" s="17">
        <v>33605</v>
      </c>
      <c r="NW18" s="17">
        <v>33605</v>
      </c>
      <c r="NX18" s="17">
        <v>33605</v>
      </c>
      <c r="NY18" s="17">
        <v>33605</v>
      </c>
      <c r="NZ18" s="17">
        <v>33605</v>
      </c>
      <c r="OA18" s="17">
        <v>33605</v>
      </c>
      <c r="OB18" s="17">
        <v>33605</v>
      </c>
      <c r="OC18" s="17">
        <v>33605</v>
      </c>
      <c r="OD18" s="17">
        <v>33605</v>
      </c>
      <c r="OE18" s="17">
        <v>33605</v>
      </c>
      <c r="OF18" s="17">
        <v>33605</v>
      </c>
      <c r="OG18" s="17">
        <v>33605</v>
      </c>
      <c r="OH18" s="17">
        <v>33605</v>
      </c>
      <c r="OI18" s="17">
        <v>33605</v>
      </c>
      <c r="OJ18" s="17">
        <v>33605</v>
      </c>
      <c r="OK18" s="17">
        <v>33605</v>
      </c>
      <c r="OL18" s="17">
        <v>33605</v>
      </c>
      <c r="OM18" s="17">
        <v>33605</v>
      </c>
      <c r="ON18" s="17">
        <v>33605</v>
      </c>
      <c r="OO18" s="17">
        <v>33605</v>
      </c>
      <c r="OP18" s="17">
        <v>33605</v>
      </c>
      <c r="OQ18" s="17">
        <v>33605</v>
      </c>
      <c r="OR18" s="17">
        <v>33605</v>
      </c>
      <c r="OS18" s="17">
        <v>33605</v>
      </c>
      <c r="OT18" s="17">
        <v>33605</v>
      </c>
      <c r="OU18" s="17">
        <v>33605</v>
      </c>
      <c r="OV18" s="17">
        <v>33605</v>
      </c>
      <c r="OW18" s="17">
        <v>33605</v>
      </c>
      <c r="OX18" s="17">
        <v>33605</v>
      </c>
      <c r="OY18" s="17">
        <v>33605</v>
      </c>
      <c r="OZ18" s="17">
        <v>33605</v>
      </c>
      <c r="PA18" s="17">
        <v>33605</v>
      </c>
      <c r="PB18" s="17">
        <v>33605</v>
      </c>
      <c r="PC18" s="17">
        <v>33605</v>
      </c>
      <c r="PD18" s="17">
        <v>33605</v>
      </c>
      <c r="PE18" s="17">
        <v>33605</v>
      </c>
      <c r="PF18" s="17">
        <v>33605</v>
      </c>
      <c r="PG18" s="17">
        <v>33605</v>
      </c>
      <c r="PH18" s="17">
        <v>33605</v>
      </c>
      <c r="PI18" s="17">
        <v>33605</v>
      </c>
      <c r="PJ18" s="17">
        <v>33605</v>
      </c>
      <c r="PK18" s="17">
        <v>33605</v>
      </c>
      <c r="PL18" s="17">
        <v>33605</v>
      </c>
    </row>
    <row r="19" spans="1:428" s="12" customFormat="1" outlineLevel="1">
      <c r="A19" s="20" t="s">
        <v>19</v>
      </c>
      <c r="B19" s="12" t="s">
        <v>38</v>
      </c>
      <c r="C19" s="12" t="str">
        <f t="shared" si="21"/>
        <v>LensSlim OvalDARK HAVANA</v>
      </c>
      <c r="D19" s="12" t="s">
        <v>36</v>
      </c>
      <c r="E19" s="16" t="s">
        <v>14</v>
      </c>
      <c r="F19" s="13" t="s">
        <v>10</v>
      </c>
      <c r="G19" s="13" t="s">
        <v>11</v>
      </c>
      <c r="H19" s="14">
        <v>318003500511</v>
      </c>
      <c r="I19" s="13"/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25</v>
      </c>
      <c r="DH19" s="17">
        <v>25</v>
      </c>
      <c r="DI19" s="17">
        <v>25</v>
      </c>
      <c r="DJ19" s="17">
        <v>25</v>
      </c>
      <c r="DK19" s="17">
        <v>25</v>
      </c>
      <c r="DL19" s="17">
        <v>25</v>
      </c>
      <c r="DM19" s="17">
        <v>25</v>
      </c>
      <c r="DN19" s="17">
        <v>445</v>
      </c>
      <c r="DO19" s="17">
        <v>655</v>
      </c>
      <c r="DP19" s="17">
        <v>1810</v>
      </c>
      <c r="DQ19" s="17">
        <v>2125</v>
      </c>
      <c r="DR19" s="17">
        <v>2335</v>
      </c>
      <c r="DS19" s="17">
        <v>2545</v>
      </c>
      <c r="DT19" s="17">
        <v>2685</v>
      </c>
      <c r="DU19" s="17">
        <v>2381</v>
      </c>
      <c r="DV19" s="17">
        <v>2381</v>
      </c>
      <c r="DW19" s="17">
        <v>2381</v>
      </c>
      <c r="DX19" s="17">
        <v>2381</v>
      </c>
      <c r="DY19" s="17">
        <v>2381</v>
      </c>
      <c r="DZ19" s="17">
        <v>3481</v>
      </c>
      <c r="EA19" s="17">
        <v>3481</v>
      </c>
      <c r="EB19" s="17">
        <v>3586</v>
      </c>
      <c r="EC19" s="17">
        <v>3796</v>
      </c>
      <c r="ED19" s="17">
        <v>4111</v>
      </c>
      <c r="EE19" s="17">
        <v>4158</v>
      </c>
      <c r="EF19" s="17">
        <v>4158</v>
      </c>
      <c r="EG19" s="17">
        <v>4158</v>
      </c>
      <c r="EH19" s="17">
        <v>4158</v>
      </c>
      <c r="EI19" s="17">
        <v>4158</v>
      </c>
      <c r="EJ19" s="17">
        <v>4158</v>
      </c>
      <c r="EK19" s="17">
        <v>5523</v>
      </c>
      <c r="EL19" s="17">
        <v>6468</v>
      </c>
      <c r="EM19" s="17">
        <v>6783</v>
      </c>
      <c r="EN19" s="17">
        <v>6888</v>
      </c>
      <c r="EO19" s="17">
        <v>7098</v>
      </c>
      <c r="EP19" s="17">
        <v>7203</v>
      </c>
      <c r="EQ19" s="17">
        <v>7203</v>
      </c>
      <c r="ER19" s="17">
        <v>7203</v>
      </c>
      <c r="ES19" s="17">
        <v>0</v>
      </c>
      <c r="ET19" s="17">
        <v>0</v>
      </c>
      <c r="EU19" s="17">
        <v>0</v>
      </c>
      <c r="EV19" s="17">
        <v>0</v>
      </c>
      <c r="EW19" s="17">
        <v>0</v>
      </c>
      <c r="EX19" s="17">
        <v>0</v>
      </c>
      <c r="EY19" s="17">
        <v>6000</v>
      </c>
      <c r="EZ19" s="17">
        <v>6000</v>
      </c>
      <c r="FA19" s="17">
        <v>6000</v>
      </c>
      <c r="FB19" s="17">
        <v>6000</v>
      </c>
      <c r="FC19" s="17">
        <v>6000</v>
      </c>
      <c r="FD19" s="17">
        <v>6000</v>
      </c>
      <c r="FE19" s="17">
        <v>6000</v>
      </c>
      <c r="FF19" s="17">
        <v>13616</v>
      </c>
      <c r="FG19" s="17">
        <v>14864</v>
      </c>
      <c r="FH19" s="17">
        <v>17360</v>
      </c>
      <c r="FI19" s="17">
        <v>18604</v>
      </c>
      <c r="FJ19" s="17">
        <v>19478</v>
      </c>
      <c r="FK19" s="17">
        <v>19505</v>
      </c>
      <c r="FL19" s="17">
        <v>19505</v>
      </c>
      <c r="FM19" s="17">
        <v>19505</v>
      </c>
      <c r="FN19" s="17">
        <v>19505</v>
      </c>
      <c r="FO19" s="17">
        <v>19505</v>
      </c>
      <c r="FP19" s="17">
        <v>19905</v>
      </c>
      <c r="FQ19" s="17">
        <v>20705</v>
      </c>
      <c r="FR19" s="17">
        <v>21505</v>
      </c>
      <c r="FS19" s="17">
        <v>22305</v>
      </c>
      <c r="FT19" s="17">
        <v>23105</v>
      </c>
      <c r="FU19" s="17">
        <v>23905</v>
      </c>
      <c r="FV19" s="17">
        <v>23905</v>
      </c>
      <c r="FW19" s="17">
        <v>24755</v>
      </c>
      <c r="FX19" s="17">
        <v>25605</v>
      </c>
      <c r="FY19" s="17">
        <v>26455</v>
      </c>
      <c r="FZ19" s="17">
        <v>27305</v>
      </c>
      <c r="GA19" s="17">
        <v>28705</v>
      </c>
      <c r="GB19" s="17">
        <v>30105</v>
      </c>
      <c r="GC19" s="17">
        <v>30105</v>
      </c>
      <c r="GD19" s="17">
        <v>31505</v>
      </c>
      <c r="GE19" s="17">
        <v>32905</v>
      </c>
      <c r="GF19" s="17">
        <v>34305</v>
      </c>
      <c r="GG19" s="17">
        <v>35705</v>
      </c>
      <c r="GH19" s="17">
        <v>37105</v>
      </c>
      <c r="GI19" s="17">
        <v>38505</v>
      </c>
      <c r="GJ19" s="17">
        <v>38505</v>
      </c>
      <c r="GK19" s="17">
        <v>38505</v>
      </c>
      <c r="GL19" s="17">
        <v>38505</v>
      </c>
      <c r="GM19" s="17">
        <v>38505</v>
      </c>
      <c r="GN19" s="17">
        <v>38505</v>
      </c>
      <c r="GO19" s="17">
        <v>38505</v>
      </c>
      <c r="GP19" s="17">
        <v>38505</v>
      </c>
      <c r="GQ19" s="17">
        <v>46905</v>
      </c>
      <c r="GR19" s="17">
        <v>46905</v>
      </c>
      <c r="GS19" s="17">
        <v>46905</v>
      </c>
      <c r="GT19" s="17">
        <v>46905</v>
      </c>
      <c r="GU19" s="17">
        <v>46905</v>
      </c>
      <c r="GV19" s="17">
        <v>46905</v>
      </c>
      <c r="GW19" s="17">
        <v>46905</v>
      </c>
      <c r="GX19" s="17">
        <v>51405</v>
      </c>
      <c r="GY19" s="17">
        <v>51405</v>
      </c>
      <c r="GZ19" s="17">
        <v>51405</v>
      </c>
      <c r="HA19" s="17">
        <v>51405</v>
      </c>
      <c r="HB19" s="17">
        <v>51405</v>
      </c>
      <c r="HC19" s="17">
        <v>51405</v>
      </c>
      <c r="HD19" s="17">
        <v>51405</v>
      </c>
      <c r="HE19" s="17">
        <v>52605</v>
      </c>
      <c r="HF19" s="17">
        <v>52605</v>
      </c>
      <c r="HG19" s="17">
        <v>52605</v>
      </c>
      <c r="HH19" s="17">
        <v>52605</v>
      </c>
      <c r="HI19" s="17">
        <v>52605</v>
      </c>
      <c r="HJ19" s="17">
        <v>52605</v>
      </c>
      <c r="HK19" s="17">
        <v>52605</v>
      </c>
      <c r="HL19" s="17">
        <v>53805</v>
      </c>
      <c r="HM19" s="17">
        <v>53805</v>
      </c>
      <c r="HN19" s="17">
        <v>53805</v>
      </c>
      <c r="HO19" s="17">
        <v>53805</v>
      </c>
      <c r="HP19" s="17">
        <v>53805</v>
      </c>
      <c r="HQ19" s="17">
        <v>53805</v>
      </c>
      <c r="HR19" s="17">
        <v>53805</v>
      </c>
      <c r="HS19" s="17">
        <v>54946</v>
      </c>
      <c r="HT19" s="17">
        <v>54946</v>
      </c>
      <c r="HU19" s="17">
        <v>54946</v>
      </c>
      <c r="HV19" s="17">
        <v>54946</v>
      </c>
      <c r="HW19" s="17">
        <v>54946</v>
      </c>
      <c r="HX19" s="17">
        <v>54946</v>
      </c>
      <c r="HY19" s="17">
        <v>54946</v>
      </c>
      <c r="HZ19" s="17">
        <v>54946</v>
      </c>
      <c r="IA19" s="17">
        <v>54946</v>
      </c>
      <c r="IB19" s="17">
        <v>54946</v>
      </c>
      <c r="IC19" s="17">
        <v>54946</v>
      </c>
      <c r="ID19" s="17">
        <v>54946</v>
      </c>
      <c r="IE19" s="17">
        <v>54946</v>
      </c>
      <c r="IF19" s="17">
        <v>54946</v>
      </c>
      <c r="IG19" s="17">
        <v>54946</v>
      </c>
      <c r="IH19" s="17">
        <v>54946</v>
      </c>
      <c r="II19" s="17">
        <v>54946</v>
      </c>
      <c r="IJ19" s="17">
        <v>54946</v>
      </c>
      <c r="IK19" s="17">
        <v>54946</v>
      </c>
      <c r="IL19" s="17">
        <v>54946</v>
      </c>
      <c r="IM19" s="17">
        <v>54946</v>
      </c>
      <c r="IN19" s="17">
        <v>54946</v>
      </c>
      <c r="IO19" s="17">
        <v>54946</v>
      </c>
      <c r="IP19" s="17">
        <v>54946</v>
      </c>
      <c r="IQ19" s="17">
        <v>54946</v>
      </c>
      <c r="IR19" s="17">
        <v>54946</v>
      </c>
      <c r="IS19" s="17">
        <v>54946</v>
      </c>
      <c r="IT19" s="17">
        <v>54946</v>
      </c>
      <c r="IU19" s="17">
        <v>54946</v>
      </c>
      <c r="IV19" s="17">
        <v>54946</v>
      </c>
      <c r="IW19" s="17">
        <v>54946</v>
      </c>
      <c r="IX19" s="17">
        <v>54946</v>
      </c>
      <c r="IY19" s="17">
        <v>54946</v>
      </c>
      <c r="IZ19" s="17">
        <v>54946</v>
      </c>
      <c r="JA19" s="17">
        <v>54946</v>
      </c>
      <c r="JB19" s="17">
        <v>54946</v>
      </c>
      <c r="JC19" s="17">
        <v>54946</v>
      </c>
      <c r="JD19" s="17">
        <v>54946</v>
      </c>
      <c r="JE19" s="17">
        <v>54946</v>
      </c>
      <c r="JF19" s="17">
        <v>54946</v>
      </c>
      <c r="JG19" s="17">
        <v>54946</v>
      </c>
      <c r="JH19" s="17">
        <v>54946</v>
      </c>
      <c r="JI19" s="17">
        <v>54946</v>
      </c>
      <c r="JJ19" s="17">
        <v>54946</v>
      </c>
      <c r="JK19" s="17">
        <v>54946</v>
      </c>
      <c r="JL19" s="17">
        <v>54946</v>
      </c>
      <c r="JM19" s="17">
        <v>54946</v>
      </c>
      <c r="JN19" s="17">
        <v>54946</v>
      </c>
      <c r="JO19" s="17">
        <v>54946</v>
      </c>
      <c r="JP19" s="17">
        <v>54946</v>
      </c>
      <c r="JQ19" s="17">
        <v>54946</v>
      </c>
      <c r="JR19" s="17">
        <v>54946</v>
      </c>
      <c r="JS19" s="17">
        <v>54946</v>
      </c>
      <c r="JT19" s="17">
        <v>54946</v>
      </c>
      <c r="JU19" s="17">
        <v>54946</v>
      </c>
      <c r="JV19" s="17">
        <v>54946</v>
      </c>
      <c r="JW19" s="17">
        <v>54946</v>
      </c>
      <c r="JX19" s="17">
        <v>54946</v>
      </c>
      <c r="JY19" s="17">
        <v>54946</v>
      </c>
      <c r="JZ19" s="17">
        <v>54946</v>
      </c>
      <c r="KA19" s="17">
        <v>54946</v>
      </c>
      <c r="KB19" s="17">
        <v>54946</v>
      </c>
      <c r="KC19" s="17">
        <v>54946</v>
      </c>
      <c r="KD19" s="17">
        <v>54946</v>
      </c>
      <c r="KE19" s="17">
        <v>54946</v>
      </c>
      <c r="KF19" s="17">
        <v>54946</v>
      </c>
      <c r="KG19" s="17">
        <v>54946</v>
      </c>
      <c r="KH19" s="17">
        <v>54946</v>
      </c>
      <c r="KI19" s="17">
        <v>54946</v>
      </c>
      <c r="KJ19" s="17">
        <v>54946</v>
      </c>
      <c r="KK19" s="17">
        <v>54946</v>
      </c>
      <c r="KL19" s="17">
        <v>54946</v>
      </c>
      <c r="KM19" s="17">
        <v>54946</v>
      </c>
      <c r="KN19" s="17">
        <v>54946</v>
      </c>
      <c r="KO19" s="17">
        <v>54946</v>
      </c>
      <c r="KP19" s="17">
        <v>54946</v>
      </c>
      <c r="KQ19" s="17">
        <v>54946</v>
      </c>
      <c r="KR19" s="17">
        <v>54946</v>
      </c>
      <c r="KS19" s="17">
        <v>54946</v>
      </c>
      <c r="KT19" s="17">
        <v>54946</v>
      </c>
      <c r="KU19" s="17">
        <v>54946</v>
      </c>
      <c r="KV19" s="17">
        <v>54946</v>
      </c>
      <c r="KW19" s="17">
        <v>54946</v>
      </c>
      <c r="KX19" s="17">
        <v>54946</v>
      </c>
      <c r="KY19" s="17">
        <v>54946</v>
      </c>
      <c r="KZ19" s="17">
        <v>54946</v>
      </c>
      <c r="LA19" s="17">
        <v>54946</v>
      </c>
      <c r="LB19" s="17">
        <v>54946</v>
      </c>
      <c r="LC19" s="17">
        <v>54946</v>
      </c>
      <c r="LD19" s="17">
        <v>54946</v>
      </c>
      <c r="LE19" s="17">
        <v>54946</v>
      </c>
      <c r="LF19" s="17">
        <v>54946</v>
      </c>
      <c r="LG19" s="17">
        <v>54946</v>
      </c>
      <c r="LH19" s="17">
        <v>54946</v>
      </c>
      <c r="LI19" s="17">
        <v>54946</v>
      </c>
      <c r="LJ19" s="17">
        <v>54946</v>
      </c>
      <c r="LK19" s="17">
        <v>54946</v>
      </c>
      <c r="LL19" s="17">
        <v>54946</v>
      </c>
      <c r="LM19" s="17">
        <v>54946</v>
      </c>
      <c r="LN19" s="17">
        <v>54946</v>
      </c>
      <c r="LO19" s="17">
        <v>54946</v>
      </c>
      <c r="LP19" s="17">
        <v>54946</v>
      </c>
      <c r="LQ19" s="17">
        <v>54946</v>
      </c>
      <c r="LR19" s="17">
        <v>54946</v>
      </c>
      <c r="LS19" s="17">
        <v>54946</v>
      </c>
      <c r="LT19" s="17">
        <v>54946</v>
      </c>
      <c r="LU19" s="17">
        <v>54946</v>
      </c>
      <c r="LV19" s="17">
        <v>54946</v>
      </c>
      <c r="LW19" s="17">
        <v>54946</v>
      </c>
      <c r="LX19" s="17">
        <v>54946</v>
      </c>
      <c r="LY19" s="17">
        <v>54946</v>
      </c>
      <c r="LZ19" s="17">
        <v>54946</v>
      </c>
      <c r="MA19" s="17">
        <v>54946</v>
      </c>
      <c r="MB19" s="17">
        <v>54946</v>
      </c>
      <c r="MC19" s="17">
        <v>54946</v>
      </c>
      <c r="MD19" s="17">
        <v>57758</v>
      </c>
      <c r="ME19" s="17">
        <v>57758</v>
      </c>
      <c r="MF19" s="17">
        <v>57758</v>
      </c>
      <c r="MG19" s="17">
        <v>57758</v>
      </c>
      <c r="MH19" s="17">
        <v>57758</v>
      </c>
      <c r="MI19" s="17">
        <v>57758</v>
      </c>
      <c r="MJ19" s="17">
        <v>57758</v>
      </c>
      <c r="MK19" s="17">
        <v>57758</v>
      </c>
      <c r="ML19" s="17">
        <v>57758</v>
      </c>
      <c r="MM19" s="17">
        <v>57758</v>
      </c>
      <c r="MN19" s="17">
        <v>57758</v>
      </c>
      <c r="MO19" s="17">
        <v>57758</v>
      </c>
      <c r="MP19" s="17">
        <v>57758</v>
      </c>
      <c r="MQ19" s="17">
        <v>57758</v>
      </c>
      <c r="MR19" s="17">
        <v>57758</v>
      </c>
      <c r="MS19" s="17">
        <v>57758</v>
      </c>
      <c r="MT19" s="17">
        <v>57758</v>
      </c>
      <c r="MU19" s="17">
        <v>57758</v>
      </c>
      <c r="MV19" s="17">
        <v>57758</v>
      </c>
      <c r="MW19" s="17">
        <v>57758</v>
      </c>
      <c r="MX19" s="17">
        <v>57758</v>
      </c>
      <c r="MY19" s="17">
        <v>57758</v>
      </c>
      <c r="MZ19" s="17">
        <v>57758</v>
      </c>
      <c r="NA19" s="17">
        <v>57758</v>
      </c>
      <c r="NB19" s="17">
        <v>57758</v>
      </c>
      <c r="NC19" s="17">
        <v>57758</v>
      </c>
      <c r="ND19" s="17">
        <v>57758</v>
      </c>
      <c r="NE19" s="17">
        <v>57758</v>
      </c>
      <c r="NF19" s="17">
        <v>57758</v>
      </c>
      <c r="NG19" s="17">
        <v>57758</v>
      </c>
      <c r="NH19" s="17">
        <v>57758</v>
      </c>
      <c r="NI19" s="17">
        <v>57758</v>
      </c>
      <c r="NJ19" s="17">
        <v>57758</v>
      </c>
      <c r="NK19" s="17">
        <v>57758</v>
      </c>
      <c r="NL19" s="17">
        <v>57758</v>
      </c>
      <c r="NM19" s="17">
        <v>57758</v>
      </c>
      <c r="NN19" s="17">
        <v>57758</v>
      </c>
      <c r="NO19" s="17">
        <v>57758</v>
      </c>
      <c r="NP19" s="17">
        <v>57758</v>
      </c>
      <c r="NQ19" s="17">
        <v>57758</v>
      </c>
      <c r="NR19" s="17">
        <v>57758</v>
      </c>
      <c r="NS19" s="17">
        <v>57758</v>
      </c>
      <c r="NT19" s="17">
        <v>57758</v>
      </c>
      <c r="NU19" s="17">
        <v>57758</v>
      </c>
      <c r="NV19" s="17">
        <v>57758</v>
      </c>
      <c r="NW19" s="17">
        <v>57758</v>
      </c>
      <c r="NX19" s="17">
        <v>57758</v>
      </c>
      <c r="NY19" s="17">
        <v>57758</v>
      </c>
      <c r="NZ19" s="17">
        <v>57758</v>
      </c>
      <c r="OA19" s="17">
        <v>57758</v>
      </c>
      <c r="OB19" s="17">
        <v>57758</v>
      </c>
      <c r="OC19" s="17">
        <v>57758</v>
      </c>
      <c r="OD19" s="17">
        <v>57758</v>
      </c>
      <c r="OE19" s="17">
        <v>57758</v>
      </c>
      <c r="OF19" s="17">
        <v>57758</v>
      </c>
      <c r="OG19" s="17">
        <v>57758</v>
      </c>
      <c r="OH19" s="17">
        <v>57758</v>
      </c>
      <c r="OI19" s="17">
        <v>57758</v>
      </c>
      <c r="OJ19" s="17">
        <v>57758</v>
      </c>
      <c r="OK19" s="17">
        <v>57758</v>
      </c>
      <c r="OL19" s="17">
        <v>57758</v>
      </c>
      <c r="OM19" s="17">
        <v>57758</v>
      </c>
      <c r="ON19" s="17">
        <v>57758</v>
      </c>
      <c r="OO19" s="17">
        <v>57758</v>
      </c>
      <c r="OP19" s="17">
        <v>57758</v>
      </c>
      <c r="OQ19" s="17">
        <v>57758</v>
      </c>
      <c r="OR19" s="17">
        <v>57758</v>
      </c>
      <c r="OS19" s="17">
        <v>57758</v>
      </c>
      <c r="OT19" s="17">
        <v>57758</v>
      </c>
      <c r="OU19" s="17">
        <v>57758</v>
      </c>
      <c r="OV19" s="17">
        <v>57758</v>
      </c>
      <c r="OW19" s="17">
        <v>57758</v>
      </c>
      <c r="OX19" s="17">
        <v>57758</v>
      </c>
      <c r="OY19" s="17">
        <v>57758</v>
      </c>
      <c r="OZ19" s="17">
        <v>57758</v>
      </c>
      <c r="PA19" s="17">
        <v>57758</v>
      </c>
      <c r="PB19" s="17">
        <v>57758</v>
      </c>
      <c r="PC19" s="17">
        <v>57758</v>
      </c>
      <c r="PD19" s="17">
        <v>57758</v>
      </c>
      <c r="PE19" s="17">
        <v>57758</v>
      </c>
      <c r="PF19" s="17">
        <v>57758</v>
      </c>
      <c r="PG19" s="17">
        <v>57758</v>
      </c>
      <c r="PH19" s="17">
        <v>57758</v>
      </c>
      <c r="PI19" s="17">
        <v>57758</v>
      </c>
      <c r="PJ19" s="17">
        <v>57758</v>
      </c>
      <c r="PK19" s="17">
        <v>57758</v>
      </c>
      <c r="PL19" s="17">
        <v>57758</v>
      </c>
    </row>
    <row r="20" spans="1:428" s="12" customFormat="1" outlineLevel="1">
      <c r="A20" s="20" t="s">
        <v>19</v>
      </c>
      <c r="B20" s="12" t="s">
        <v>39</v>
      </c>
      <c r="C20" s="12" t="str">
        <f t="shared" si="21"/>
        <v>LensRectangle MBlack Ice</v>
      </c>
      <c r="D20" s="12" t="s">
        <v>33</v>
      </c>
      <c r="E20" s="16" t="s">
        <v>14</v>
      </c>
      <c r="F20" s="13" t="s">
        <v>0</v>
      </c>
      <c r="G20" s="13" t="s">
        <v>37</v>
      </c>
      <c r="H20" s="14">
        <v>318003500693</v>
      </c>
      <c r="I20" s="13"/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  <c r="DZ20" s="17">
        <v>0</v>
      </c>
      <c r="EA20" s="17">
        <v>0</v>
      </c>
      <c r="EB20" s="17">
        <v>0</v>
      </c>
      <c r="EC20" s="17">
        <v>0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0</v>
      </c>
      <c r="EJ20" s="17">
        <v>0</v>
      </c>
      <c r="EK20" s="17">
        <v>0</v>
      </c>
      <c r="EL20" s="17">
        <v>0</v>
      </c>
      <c r="EM20" s="17">
        <v>0</v>
      </c>
      <c r="EN20" s="17">
        <v>0</v>
      </c>
      <c r="EO20" s="17">
        <v>0</v>
      </c>
      <c r="EP20" s="17">
        <v>0</v>
      </c>
      <c r="EQ20" s="17">
        <v>0</v>
      </c>
      <c r="ER20" s="17">
        <v>0</v>
      </c>
      <c r="ES20" s="17">
        <v>0</v>
      </c>
      <c r="ET20" s="17">
        <v>0</v>
      </c>
      <c r="EU20" s="17">
        <v>0</v>
      </c>
      <c r="EV20" s="17">
        <v>0</v>
      </c>
      <c r="EW20" s="17">
        <v>0</v>
      </c>
      <c r="EX20" s="17">
        <v>0</v>
      </c>
      <c r="EY20" s="17">
        <v>0</v>
      </c>
      <c r="EZ20" s="17">
        <v>0</v>
      </c>
      <c r="FA20" s="17">
        <v>0</v>
      </c>
      <c r="FB20" s="17">
        <v>0</v>
      </c>
      <c r="FC20" s="17">
        <v>0</v>
      </c>
      <c r="FD20" s="17">
        <v>0</v>
      </c>
      <c r="FE20" s="17">
        <v>0</v>
      </c>
      <c r="FF20" s="17">
        <v>0</v>
      </c>
      <c r="FG20" s="17">
        <v>0</v>
      </c>
      <c r="FH20" s="17">
        <v>0</v>
      </c>
      <c r="FI20" s="17">
        <v>0</v>
      </c>
      <c r="FJ20" s="17">
        <v>0</v>
      </c>
      <c r="FK20" s="17">
        <v>0</v>
      </c>
      <c r="FL20" s="17">
        <v>0</v>
      </c>
      <c r="FM20" s="17">
        <v>0</v>
      </c>
      <c r="FN20" s="17">
        <v>0</v>
      </c>
      <c r="FO20" s="17">
        <v>0</v>
      </c>
      <c r="FP20" s="17">
        <v>0</v>
      </c>
      <c r="FQ20" s="17">
        <v>0</v>
      </c>
      <c r="FR20" s="17">
        <v>0</v>
      </c>
      <c r="FS20" s="17">
        <v>0</v>
      </c>
      <c r="FT20" s="17">
        <v>0</v>
      </c>
      <c r="FU20" s="17">
        <v>0</v>
      </c>
      <c r="FV20" s="17">
        <v>0</v>
      </c>
      <c r="FW20" s="17">
        <v>400</v>
      </c>
      <c r="FX20" s="17">
        <v>400</v>
      </c>
      <c r="FY20" s="17">
        <v>400</v>
      </c>
      <c r="FZ20" s="17">
        <v>400</v>
      </c>
      <c r="GA20" s="17">
        <v>400</v>
      </c>
      <c r="GB20" s="17">
        <v>400</v>
      </c>
      <c r="GC20" s="17">
        <v>400</v>
      </c>
      <c r="GD20" s="17">
        <v>400</v>
      </c>
      <c r="GE20" s="17">
        <v>2389</v>
      </c>
      <c r="GF20" s="17">
        <v>4378</v>
      </c>
      <c r="GG20" s="17">
        <v>6367</v>
      </c>
      <c r="GH20" s="17">
        <v>6367</v>
      </c>
      <c r="GI20" s="17">
        <v>6367</v>
      </c>
      <c r="GJ20" s="17">
        <v>10345</v>
      </c>
      <c r="GK20" s="17">
        <v>10345</v>
      </c>
      <c r="GL20" s="17">
        <v>10345</v>
      </c>
      <c r="GM20" s="17">
        <v>12334</v>
      </c>
      <c r="GN20" s="17">
        <v>12334</v>
      </c>
      <c r="GO20" s="17">
        <v>14323</v>
      </c>
      <c r="GP20" s="17">
        <v>14323</v>
      </c>
      <c r="GQ20" s="17">
        <v>16312</v>
      </c>
      <c r="GR20" s="17">
        <v>18301</v>
      </c>
      <c r="GS20" s="17">
        <v>18301</v>
      </c>
      <c r="GT20" s="17">
        <v>18301</v>
      </c>
      <c r="GU20" s="17">
        <v>18301</v>
      </c>
      <c r="GV20" s="17">
        <v>18301</v>
      </c>
      <c r="GW20" s="17">
        <v>30235</v>
      </c>
      <c r="GX20" s="17">
        <v>34213</v>
      </c>
      <c r="GY20" s="17">
        <v>36202</v>
      </c>
      <c r="GZ20" s="17">
        <v>38047</v>
      </c>
      <c r="HA20" s="17">
        <v>38047</v>
      </c>
      <c r="HB20" s="17">
        <v>38047</v>
      </c>
      <c r="HC20" s="17">
        <v>38520</v>
      </c>
      <c r="HD20" s="17">
        <v>38520</v>
      </c>
      <c r="HE20" s="17">
        <v>38520</v>
      </c>
      <c r="HF20" s="17">
        <v>38560</v>
      </c>
      <c r="HG20" s="17">
        <v>38560</v>
      </c>
      <c r="HH20" s="17">
        <v>38560</v>
      </c>
      <c r="HI20" s="17">
        <v>38560</v>
      </c>
      <c r="HJ20" s="17">
        <v>38880</v>
      </c>
      <c r="HK20" s="17">
        <v>38880</v>
      </c>
      <c r="HL20" s="17">
        <v>38880</v>
      </c>
      <c r="HM20" s="17">
        <v>38889</v>
      </c>
      <c r="HN20" s="17">
        <v>38889</v>
      </c>
      <c r="HO20" s="17">
        <v>38889</v>
      </c>
      <c r="HP20" s="17">
        <v>38889</v>
      </c>
      <c r="HQ20" s="17">
        <v>40320</v>
      </c>
      <c r="HR20" s="17">
        <v>40320</v>
      </c>
      <c r="HS20" s="17">
        <v>40326</v>
      </c>
      <c r="HT20" s="17">
        <v>40326</v>
      </c>
      <c r="HU20" s="17">
        <v>40326</v>
      </c>
      <c r="HV20" s="17">
        <v>40326</v>
      </c>
      <c r="HW20" s="17">
        <v>40326</v>
      </c>
      <c r="HX20" s="17">
        <v>43110</v>
      </c>
      <c r="HY20" s="17">
        <v>43110</v>
      </c>
      <c r="HZ20" s="17">
        <v>43157</v>
      </c>
      <c r="IA20" s="17">
        <v>43157</v>
      </c>
      <c r="IB20" s="17">
        <v>43157</v>
      </c>
      <c r="IC20" s="17">
        <v>43157</v>
      </c>
      <c r="ID20" s="17">
        <v>43157</v>
      </c>
      <c r="IE20" s="17">
        <v>44910</v>
      </c>
      <c r="IF20" s="17">
        <v>44910</v>
      </c>
      <c r="IG20" s="17">
        <v>44966</v>
      </c>
      <c r="IH20" s="17">
        <v>44966</v>
      </c>
      <c r="II20" s="17">
        <v>44966</v>
      </c>
      <c r="IJ20" s="17">
        <v>44966</v>
      </c>
      <c r="IK20" s="17">
        <v>44966</v>
      </c>
      <c r="IL20" s="17">
        <v>45990</v>
      </c>
      <c r="IM20" s="17">
        <v>45990</v>
      </c>
      <c r="IN20" s="17">
        <v>46068</v>
      </c>
      <c r="IO20" s="17">
        <v>46068</v>
      </c>
      <c r="IP20" s="17">
        <v>46068</v>
      </c>
      <c r="IQ20" s="17">
        <v>46068</v>
      </c>
      <c r="IR20" s="17">
        <v>46068</v>
      </c>
      <c r="IS20" s="17">
        <v>46080</v>
      </c>
      <c r="IT20" s="17">
        <v>46080</v>
      </c>
      <c r="IU20" s="17">
        <v>46080</v>
      </c>
      <c r="IV20" s="17">
        <v>46080</v>
      </c>
      <c r="IW20" s="17">
        <v>46080</v>
      </c>
      <c r="IX20" s="17">
        <v>46080</v>
      </c>
      <c r="IY20" s="17">
        <v>46080</v>
      </c>
      <c r="IZ20" s="17">
        <v>46080</v>
      </c>
      <c r="JA20" s="17">
        <v>46080</v>
      </c>
      <c r="JB20" s="17">
        <v>46080</v>
      </c>
      <c r="JC20" s="17">
        <v>46080</v>
      </c>
      <c r="JD20" s="17">
        <v>46080</v>
      </c>
      <c r="JE20" s="17">
        <v>46080</v>
      </c>
      <c r="JF20" s="17">
        <v>46080</v>
      </c>
      <c r="JG20" s="17">
        <v>46080</v>
      </c>
      <c r="JH20" s="17">
        <v>46080</v>
      </c>
      <c r="JI20" s="17">
        <v>46166</v>
      </c>
      <c r="JJ20" s="17">
        <v>46166</v>
      </c>
      <c r="JK20" s="17">
        <v>46166</v>
      </c>
      <c r="JL20" s="17">
        <v>46166</v>
      </c>
      <c r="JM20" s="17">
        <v>46166</v>
      </c>
      <c r="JN20" s="17">
        <v>46170</v>
      </c>
      <c r="JO20" s="17">
        <v>46170</v>
      </c>
      <c r="JP20" s="17">
        <v>46170</v>
      </c>
      <c r="JQ20" s="17">
        <v>46170</v>
      </c>
      <c r="JR20" s="17">
        <v>46170</v>
      </c>
      <c r="JS20" s="17">
        <v>46170</v>
      </c>
      <c r="JT20" s="17">
        <v>46170</v>
      </c>
      <c r="JU20" s="17">
        <v>46170</v>
      </c>
      <c r="JV20" s="17">
        <v>46170</v>
      </c>
      <c r="JW20" s="17">
        <v>46219</v>
      </c>
      <c r="JX20" s="17">
        <v>46219</v>
      </c>
      <c r="JY20" s="17">
        <v>46219</v>
      </c>
      <c r="JZ20" s="17">
        <v>46219</v>
      </c>
      <c r="KA20" s="17">
        <v>46219</v>
      </c>
      <c r="KB20" s="17">
        <v>46319</v>
      </c>
      <c r="KC20" s="17">
        <v>46319</v>
      </c>
      <c r="KD20" s="17">
        <v>46363</v>
      </c>
      <c r="KE20" s="17">
        <v>46363</v>
      </c>
      <c r="KF20" s="17">
        <v>46363</v>
      </c>
      <c r="KG20" s="17">
        <v>46363</v>
      </c>
      <c r="KH20" s="17">
        <v>46363</v>
      </c>
      <c r="KI20" s="17">
        <v>46440</v>
      </c>
      <c r="KJ20" s="17">
        <v>46440</v>
      </c>
      <c r="KK20" s="17">
        <v>46440</v>
      </c>
      <c r="KL20" s="17">
        <v>46440</v>
      </c>
      <c r="KM20" s="17">
        <v>46440</v>
      </c>
      <c r="KN20" s="17">
        <v>46440</v>
      </c>
      <c r="KO20" s="17">
        <v>46440</v>
      </c>
      <c r="KP20" s="17">
        <v>46440</v>
      </c>
      <c r="KQ20" s="17">
        <v>46440</v>
      </c>
      <c r="KR20" s="17">
        <v>46440</v>
      </c>
      <c r="KS20" s="17">
        <v>46440</v>
      </c>
      <c r="KT20" s="17">
        <v>46440</v>
      </c>
      <c r="KU20" s="17">
        <v>46440</v>
      </c>
      <c r="KV20" s="17">
        <v>46440</v>
      </c>
      <c r="KW20" s="17">
        <v>46440</v>
      </c>
      <c r="KX20" s="17">
        <v>46440</v>
      </c>
      <c r="KY20" s="17">
        <v>46440</v>
      </c>
      <c r="KZ20" s="17">
        <v>46440</v>
      </c>
      <c r="LA20" s="17">
        <v>46440</v>
      </c>
      <c r="LB20" s="17">
        <v>46440</v>
      </c>
      <c r="LC20" s="17">
        <v>46440</v>
      </c>
      <c r="LD20" s="17">
        <v>46440</v>
      </c>
      <c r="LE20" s="17">
        <v>46440</v>
      </c>
      <c r="LF20" s="17">
        <v>46440</v>
      </c>
      <c r="LG20" s="17">
        <v>46440</v>
      </c>
      <c r="LH20" s="17">
        <v>46440</v>
      </c>
      <c r="LI20" s="17">
        <v>46440</v>
      </c>
      <c r="LJ20" s="17">
        <v>46440</v>
      </c>
      <c r="LK20" s="17">
        <v>46440</v>
      </c>
      <c r="LL20" s="17">
        <v>46440</v>
      </c>
      <c r="LM20" s="17">
        <v>46440</v>
      </c>
      <c r="LN20" s="17">
        <v>46440</v>
      </c>
      <c r="LO20" s="17">
        <v>46440</v>
      </c>
      <c r="LP20" s="17">
        <v>46440</v>
      </c>
      <c r="LQ20" s="17">
        <v>46440</v>
      </c>
      <c r="LR20" s="17">
        <v>46440</v>
      </c>
      <c r="LS20" s="17">
        <v>46440</v>
      </c>
      <c r="LT20" s="17">
        <v>46527</v>
      </c>
      <c r="LU20" s="17">
        <v>46527</v>
      </c>
      <c r="LV20" s="17">
        <v>46527</v>
      </c>
      <c r="LW20" s="17">
        <v>46527</v>
      </c>
      <c r="LX20" s="17">
        <v>46527</v>
      </c>
      <c r="LY20" s="17">
        <v>46530</v>
      </c>
      <c r="LZ20" s="17">
        <v>46530</v>
      </c>
      <c r="MA20" s="17">
        <v>46530</v>
      </c>
      <c r="MB20" s="17">
        <v>46530</v>
      </c>
      <c r="MC20" s="17">
        <v>46530</v>
      </c>
      <c r="MD20" s="17">
        <v>46530</v>
      </c>
      <c r="ME20" s="17">
        <v>46530</v>
      </c>
      <c r="MF20" s="17">
        <v>46530</v>
      </c>
      <c r="MG20" s="17">
        <v>46530</v>
      </c>
      <c r="MH20" s="17">
        <v>46590</v>
      </c>
      <c r="MI20" s="17">
        <v>46590</v>
      </c>
      <c r="MJ20" s="17">
        <v>46590</v>
      </c>
      <c r="MK20" s="17">
        <v>46590</v>
      </c>
      <c r="ML20" s="17">
        <v>46590</v>
      </c>
      <c r="MM20" s="17">
        <v>46620</v>
      </c>
      <c r="MN20" s="17">
        <v>46620</v>
      </c>
      <c r="MO20" s="17">
        <v>46620</v>
      </c>
      <c r="MP20" s="17">
        <v>46620</v>
      </c>
      <c r="MQ20" s="17">
        <v>46620</v>
      </c>
      <c r="MR20" s="17">
        <v>46620</v>
      </c>
      <c r="MS20" s="17">
        <v>46620</v>
      </c>
      <c r="MT20" s="17">
        <v>46620</v>
      </c>
      <c r="MU20" s="17">
        <v>46620</v>
      </c>
      <c r="MV20" s="17">
        <v>46684</v>
      </c>
      <c r="MW20" s="17">
        <v>46684</v>
      </c>
      <c r="MX20" s="17">
        <v>46684</v>
      </c>
      <c r="MY20" s="17">
        <v>46684</v>
      </c>
      <c r="MZ20" s="17">
        <v>46684</v>
      </c>
      <c r="NA20" s="17">
        <v>46710</v>
      </c>
      <c r="NB20" s="17">
        <v>46710</v>
      </c>
      <c r="NC20" s="17">
        <v>46710</v>
      </c>
      <c r="ND20" s="17">
        <v>46710</v>
      </c>
      <c r="NE20" s="17">
        <v>46710</v>
      </c>
      <c r="NF20" s="17">
        <v>46710</v>
      </c>
      <c r="NG20" s="17">
        <v>46710</v>
      </c>
      <c r="NH20" s="17">
        <v>46710</v>
      </c>
      <c r="NI20" s="17">
        <v>46710</v>
      </c>
      <c r="NJ20" s="17">
        <v>46778</v>
      </c>
      <c r="NK20" s="17">
        <v>46778</v>
      </c>
      <c r="NL20" s="17">
        <v>46778</v>
      </c>
      <c r="NM20" s="17">
        <v>46778</v>
      </c>
      <c r="NN20" s="17">
        <v>46778</v>
      </c>
      <c r="NO20" s="17">
        <v>46800</v>
      </c>
      <c r="NP20" s="17">
        <v>46800</v>
      </c>
      <c r="NQ20" s="17">
        <v>46845</v>
      </c>
      <c r="NR20" s="17">
        <v>46845</v>
      </c>
      <c r="NS20" s="17">
        <v>46845</v>
      </c>
      <c r="NT20" s="17">
        <v>46845</v>
      </c>
      <c r="NU20" s="17">
        <v>46845</v>
      </c>
      <c r="NV20" s="17">
        <v>47250</v>
      </c>
      <c r="NW20" s="17">
        <v>47250</v>
      </c>
      <c r="NX20" s="17">
        <v>47257</v>
      </c>
      <c r="NY20" s="17">
        <v>47257</v>
      </c>
      <c r="NZ20" s="17">
        <v>47257</v>
      </c>
      <c r="OA20" s="17">
        <v>47257</v>
      </c>
      <c r="OB20" s="17">
        <v>47257</v>
      </c>
      <c r="OC20" s="17">
        <v>48240</v>
      </c>
      <c r="OD20" s="17">
        <v>48240</v>
      </c>
      <c r="OE20" s="17">
        <v>48280</v>
      </c>
      <c r="OF20" s="17">
        <v>48280</v>
      </c>
      <c r="OG20" s="17">
        <v>48280</v>
      </c>
      <c r="OH20" s="17">
        <v>48280</v>
      </c>
      <c r="OI20" s="17">
        <v>48280</v>
      </c>
      <c r="OJ20" s="17">
        <v>48600</v>
      </c>
      <c r="OK20" s="17">
        <v>48600</v>
      </c>
      <c r="OL20" s="17">
        <v>48621</v>
      </c>
      <c r="OM20" s="17">
        <v>48621</v>
      </c>
      <c r="ON20" s="17">
        <v>48621</v>
      </c>
      <c r="OO20" s="17">
        <v>48621</v>
      </c>
      <c r="OP20" s="17">
        <v>48621</v>
      </c>
      <c r="OQ20" s="17">
        <v>48960</v>
      </c>
      <c r="OR20" s="17">
        <v>48960</v>
      </c>
      <c r="OS20" s="17">
        <v>48962</v>
      </c>
      <c r="OT20" s="17">
        <v>48962</v>
      </c>
      <c r="OU20" s="17">
        <v>48962</v>
      </c>
      <c r="OV20" s="17">
        <v>48962</v>
      </c>
      <c r="OW20" s="17">
        <v>48962</v>
      </c>
      <c r="OX20" s="17">
        <v>49230</v>
      </c>
      <c r="OY20" s="17">
        <v>49230</v>
      </c>
      <c r="OZ20" s="17">
        <v>49303</v>
      </c>
      <c r="PA20" s="17">
        <v>49303</v>
      </c>
      <c r="PB20" s="17">
        <v>49303</v>
      </c>
      <c r="PC20" s="17">
        <v>49303</v>
      </c>
      <c r="PD20" s="17">
        <v>49303</v>
      </c>
      <c r="PE20" s="17">
        <v>49554</v>
      </c>
      <c r="PF20" s="17">
        <v>49554</v>
      </c>
      <c r="PG20" s="17">
        <v>49554</v>
      </c>
      <c r="PH20" s="17">
        <v>49554</v>
      </c>
      <c r="PI20" s="17">
        <v>49554</v>
      </c>
      <c r="PJ20" s="17">
        <v>49554</v>
      </c>
      <c r="PK20" s="17">
        <v>49554</v>
      </c>
      <c r="PL20" s="17">
        <v>49554</v>
      </c>
    </row>
    <row r="21" spans="1:428" s="12" customFormat="1" outlineLevel="1">
      <c r="A21" s="20" t="s">
        <v>19</v>
      </c>
      <c r="B21" s="12" t="s">
        <v>20</v>
      </c>
      <c r="C21" s="12" t="str">
        <f t="shared" si="21"/>
        <v>LensRectangle MBlack (low cost)</v>
      </c>
      <c r="D21" s="12" t="s">
        <v>33</v>
      </c>
      <c r="E21" s="16" t="s">
        <v>14</v>
      </c>
      <c r="F21" s="13" t="s">
        <v>0</v>
      </c>
      <c r="G21" s="13" t="s">
        <v>34</v>
      </c>
      <c r="H21" s="14">
        <v>318003500484</v>
      </c>
      <c r="I21" s="13"/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  <c r="DZ21" s="17">
        <v>0</v>
      </c>
      <c r="EA21" s="17">
        <v>0</v>
      </c>
      <c r="EB21" s="17">
        <v>0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0</v>
      </c>
      <c r="EJ21" s="17">
        <v>0</v>
      </c>
      <c r="EK21" s="17">
        <v>0</v>
      </c>
      <c r="EL21" s="17">
        <v>0</v>
      </c>
      <c r="EM21" s="17">
        <v>0</v>
      </c>
      <c r="EN21" s="17">
        <v>0</v>
      </c>
      <c r="EO21" s="17">
        <v>0</v>
      </c>
      <c r="EP21" s="17">
        <v>0</v>
      </c>
      <c r="EQ21" s="17">
        <v>0</v>
      </c>
      <c r="ER21" s="17">
        <v>0</v>
      </c>
      <c r="ES21" s="17">
        <v>0</v>
      </c>
      <c r="ET21" s="17">
        <v>0</v>
      </c>
      <c r="EU21" s="17">
        <v>0</v>
      </c>
      <c r="EV21" s="17">
        <v>0</v>
      </c>
      <c r="EW21" s="17">
        <v>0</v>
      </c>
      <c r="EX21" s="17">
        <v>0</v>
      </c>
      <c r="EY21" s="17">
        <v>0</v>
      </c>
      <c r="EZ21" s="17">
        <v>0</v>
      </c>
      <c r="FA21" s="17">
        <v>0</v>
      </c>
      <c r="FB21" s="17">
        <v>0</v>
      </c>
      <c r="FC21" s="17">
        <v>0</v>
      </c>
      <c r="FD21" s="17">
        <v>0</v>
      </c>
      <c r="FE21" s="17">
        <v>0</v>
      </c>
      <c r="FF21" s="17">
        <v>0</v>
      </c>
      <c r="FG21" s="17">
        <v>0</v>
      </c>
      <c r="FH21" s="17">
        <v>0</v>
      </c>
      <c r="FI21" s="17">
        <v>0</v>
      </c>
      <c r="FJ21" s="17">
        <v>0</v>
      </c>
      <c r="FK21" s="17">
        <v>0</v>
      </c>
      <c r="FL21" s="17">
        <v>0</v>
      </c>
      <c r="FM21" s="17">
        <v>0</v>
      </c>
      <c r="FN21" s="17">
        <v>0</v>
      </c>
      <c r="FO21" s="17">
        <v>0</v>
      </c>
      <c r="FP21" s="17">
        <v>0</v>
      </c>
      <c r="FQ21" s="17">
        <v>0</v>
      </c>
      <c r="FR21" s="17">
        <v>0</v>
      </c>
      <c r="FS21" s="17">
        <v>0</v>
      </c>
      <c r="FT21" s="17">
        <v>0</v>
      </c>
      <c r="FU21" s="17">
        <v>0</v>
      </c>
      <c r="FV21" s="17">
        <v>0</v>
      </c>
      <c r="FW21" s="17">
        <v>0</v>
      </c>
      <c r="FX21" s="17">
        <v>0</v>
      </c>
      <c r="FY21" s="17">
        <v>0</v>
      </c>
      <c r="FZ21" s="17">
        <v>0</v>
      </c>
      <c r="GA21" s="17">
        <v>0</v>
      </c>
      <c r="GB21" s="17">
        <v>0</v>
      </c>
      <c r="GC21" s="17">
        <v>0</v>
      </c>
      <c r="GD21" s="17">
        <v>0</v>
      </c>
      <c r="GE21" s="17">
        <v>0</v>
      </c>
      <c r="GF21" s="17">
        <v>0</v>
      </c>
      <c r="GG21" s="17">
        <v>0</v>
      </c>
      <c r="GH21" s="17">
        <v>0</v>
      </c>
      <c r="GI21" s="17">
        <v>0</v>
      </c>
      <c r="GJ21" s="17">
        <v>0</v>
      </c>
      <c r="GK21" s="17">
        <v>0</v>
      </c>
      <c r="GL21" s="17">
        <v>0</v>
      </c>
      <c r="GM21" s="17">
        <v>0</v>
      </c>
      <c r="GN21" s="17">
        <v>0</v>
      </c>
      <c r="GO21" s="17">
        <v>0</v>
      </c>
      <c r="GP21" s="17">
        <v>0</v>
      </c>
      <c r="GQ21" s="17">
        <v>0</v>
      </c>
      <c r="GR21" s="17">
        <v>0</v>
      </c>
      <c r="GS21" s="17">
        <v>0</v>
      </c>
      <c r="GT21" s="17">
        <v>0</v>
      </c>
      <c r="GU21" s="17">
        <v>0</v>
      </c>
      <c r="GV21" s="17">
        <v>0</v>
      </c>
      <c r="GW21" s="17">
        <v>0</v>
      </c>
      <c r="GX21" s="17">
        <v>0</v>
      </c>
      <c r="GY21" s="17">
        <v>0</v>
      </c>
      <c r="GZ21" s="17">
        <v>0</v>
      </c>
      <c r="HA21" s="17">
        <v>0</v>
      </c>
      <c r="HB21" s="17">
        <v>0</v>
      </c>
      <c r="HC21" s="17">
        <v>0</v>
      </c>
      <c r="HD21" s="17">
        <v>0</v>
      </c>
      <c r="HE21" s="17">
        <v>0</v>
      </c>
      <c r="HF21" s="17">
        <v>0</v>
      </c>
      <c r="HG21" s="17">
        <v>0</v>
      </c>
      <c r="HH21" s="17">
        <v>0</v>
      </c>
      <c r="HI21" s="17">
        <v>0</v>
      </c>
      <c r="HJ21" s="17">
        <v>0</v>
      </c>
      <c r="HK21" s="17">
        <v>0</v>
      </c>
      <c r="HL21" s="17">
        <v>0</v>
      </c>
      <c r="HM21" s="17">
        <v>0</v>
      </c>
      <c r="HN21" s="17">
        <v>0</v>
      </c>
      <c r="HO21" s="17">
        <v>0</v>
      </c>
      <c r="HP21" s="17">
        <v>0</v>
      </c>
      <c r="HQ21" s="17">
        <v>0</v>
      </c>
      <c r="HR21" s="17">
        <v>0</v>
      </c>
      <c r="HS21" s="17">
        <v>0</v>
      </c>
      <c r="HT21" s="17">
        <v>0</v>
      </c>
      <c r="HU21" s="17">
        <v>0</v>
      </c>
      <c r="HV21" s="17">
        <v>0</v>
      </c>
      <c r="HW21" s="17">
        <v>0</v>
      </c>
      <c r="HX21" s="17">
        <v>0</v>
      </c>
      <c r="HY21" s="17">
        <v>0</v>
      </c>
      <c r="HZ21" s="17">
        <v>0</v>
      </c>
      <c r="IA21" s="17">
        <v>0</v>
      </c>
      <c r="IB21" s="17">
        <v>0</v>
      </c>
      <c r="IC21" s="17">
        <v>0</v>
      </c>
      <c r="ID21" s="17">
        <v>0</v>
      </c>
      <c r="IE21" s="17">
        <v>0</v>
      </c>
      <c r="IF21" s="17">
        <v>0</v>
      </c>
      <c r="IG21" s="17">
        <v>0</v>
      </c>
      <c r="IH21" s="17">
        <v>0</v>
      </c>
      <c r="II21" s="17">
        <v>0</v>
      </c>
      <c r="IJ21" s="17">
        <v>0</v>
      </c>
      <c r="IK21" s="17">
        <v>0</v>
      </c>
      <c r="IL21" s="17">
        <v>0</v>
      </c>
      <c r="IM21" s="17">
        <v>0</v>
      </c>
      <c r="IN21" s="17">
        <v>0</v>
      </c>
      <c r="IO21" s="17">
        <v>0</v>
      </c>
      <c r="IP21" s="17">
        <v>0</v>
      </c>
      <c r="IQ21" s="17">
        <v>0</v>
      </c>
      <c r="IR21" s="17">
        <v>0</v>
      </c>
      <c r="IS21" s="17">
        <v>0</v>
      </c>
      <c r="IT21" s="17">
        <v>0</v>
      </c>
      <c r="IU21" s="17">
        <v>0</v>
      </c>
      <c r="IV21" s="17">
        <v>0</v>
      </c>
      <c r="IW21" s="17">
        <v>0</v>
      </c>
      <c r="IX21" s="17">
        <v>0</v>
      </c>
      <c r="IY21" s="17">
        <v>0</v>
      </c>
      <c r="IZ21" s="17">
        <v>0</v>
      </c>
      <c r="JA21" s="17">
        <v>0</v>
      </c>
      <c r="JB21" s="17">
        <v>0</v>
      </c>
      <c r="JC21" s="17">
        <v>0</v>
      </c>
      <c r="JD21" s="17">
        <v>0</v>
      </c>
      <c r="JE21" s="17">
        <v>0</v>
      </c>
      <c r="JF21" s="17">
        <v>0</v>
      </c>
      <c r="JG21" s="17">
        <v>0</v>
      </c>
      <c r="JH21" s="17">
        <v>0</v>
      </c>
      <c r="JI21" s="17">
        <v>0</v>
      </c>
      <c r="JJ21" s="17">
        <v>0</v>
      </c>
      <c r="JK21" s="17">
        <v>0</v>
      </c>
      <c r="JL21" s="17">
        <v>0</v>
      </c>
      <c r="JM21" s="17">
        <v>0</v>
      </c>
      <c r="JN21" s="17">
        <v>0</v>
      </c>
      <c r="JO21" s="17">
        <v>0</v>
      </c>
      <c r="JP21" s="17">
        <v>0</v>
      </c>
      <c r="JQ21" s="17">
        <v>0</v>
      </c>
      <c r="JR21" s="17">
        <v>0</v>
      </c>
      <c r="JS21" s="17">
        <v>0</v>
      </c>
      <c r="JT21" s="17">
        <v>0</v>
      </c>
      <c r="JU21" s="17">
        <v>0</v>
      </c>
      <c r="JV21" s="17">
        <v>0</v>
      </c>
      <c r="JW21" s="17">
        <v>0</v>
      </c>
      <c r="JX21" s="17">
        <v>0</v>
      </c>
      <c r="JY21" s="17">
        <v>0</v>
      </c>
      <c r="JZ21" s="17">
        <v>0</v>
      </c>
      <c r="KA21" s="17">
        <v>0</v>
      </c>
      <c r="KB21" s="17">
        <v>0</v>
      </c>
      <c r="KC21" s="17">
        <v>0</v>
      </c>
      <c r="KD21" s="17">
        <v>0</v>
      </c>
      <c r="KE21" s="17">
        <v>0</v>
      </c>
      <c r="KF21" s="17">
        <v>0</v>
      </c>
      <c r="KG21" s="17">
        <v>0</v>
      </c>
      <c r="KH21" s="17">
        <v>0</v>
      </c>
      <c r="KI21" s="17">
        <v>0</v>
      </c>
      <c r="KJ21" s="17">
        <v>0</v>
      </c>
      <c r="KK21" s="17">
        <v>0</v>
      </c>
      <c r="KL21" s="17">
        <v>0</v>
      </c>
      <c r="KM21" s="17">
        <v>0</v>
      </c>
      <c r="KN21" s="17">
        <v>0</v>
      </c>
      <c r="KO21" s="17">
        <v>0</v>
      </c>
      <c r="KP21" s="17">
        <v>0</v>
      </c>
      <c r="KQ21" s="17">
        <v>0</v>
      </c>
      <c r="KR21" s="17">
        <v>0</v>
      </c>
      <c r="KS21" s="17">
        <v>0</v>
      </c>
      <c r="KT21" s="17">
        <v>0</v>
      </c>
      <c r="KU21" s="17">
        <v>0</v>
      </c>
      <c r="KV21" s="17">
        <v>0</v>
      </c>
      <c r="KW21" s="17">
        <v>0</v>
      </c>
      <c r="KX21" s="17">
        <v>0</v>
      </c>
      <c r="KY21" s="17">
        <v>0</v>
      </c>
      <c r="KZ21" s="17">
        <v>0</v>
      </c>
      <c r="LA21" s="17">
        <v>0</v>
      </c>
      <c r="LB21" s="17">
        <v>0</v>
      </c>
      <c r="LC21" s="17">
        <v>0</v>
      </c>
      <c r="LD21" s="17">
        <v>0</v>
      </c>
      <c r="LE21" s="17">
        <v>0</v>
      </c>
      <c r="LF21" s="17">
        <v>0</v>
      </c>
      <c r="LG21" s="17">
        <v>0</v>
      </c>
      <c r="LH21" s="17">
        <v>0</v>
      </c>
      <c r="LI21" s="17">
        <v>0</v>
      </c>
      <c r="LJ21" s="17">
        <v>0</v>
      </c>
      <c r="LK21" s="17">
        <v>0</v>
      </c>
      <c r="LL21" s="17">
        <v>0</v>
      </c>
      <c r="LM21" s="17">
        <v>0</v>
      </c>
      <c r="LN21" s="17">
        <v>0</v>
      </c>
      <c r="LO21" s="17">
        <v>0</v>
      </c>
      <c r="LP21" s="17">
        <v>0</v>
      </c>
      <c r="LQ21" s="17">
        <v>0</v>
      </c>
      <c r="LR21" s="17">
        <v>0</v>
      </c>
      <c r="LS21" s="17">
        <v>0</v>
      </c>
      <c r="LT21" s="17">
        <v>0</v>
      </c>
      <c r="LU21" s="17">
        <v>0</v>
      </c>
      <c r="LV21" s="17">
        <v>0</v>
      </c>
      <c r="LW21" s="17">
        <v>0</v>
      </c>
      <c r="LX21" s="17">
        <v>0</v>
      </c>
      <c r="LY21" s="17">
        <v>0</v>
      </c>
      <c r="LZ21" s="17">
        <v>0</v>
      </c>
      <c r="MA21" s="17">
        <v>0</v>
      </c>
      <c r="MB21" s="17">
        <v>0</v>
      </c>
      <c r="MC21" s="17">
        <v>0</v>
      </c>
      <c r="MD21" s="17">
        <v>0</v>
      </c>
      <c r="ME21" s="17">
        <v>0</v>
      </c>
      <c r="MF21" s="17">
        <v>0</v>
      </c>
      <c r="MG21" s="17">
        <v>0</v>
      </c>
      <c r="MH21" s="17">
        <v>0</v>
      </c>
      <c r="MI21" s="17">
        <v>0</v>
      </c>
      <c r="MJ21" s="17">
        <v>0</v>
      </c>
      <c r="MK21" s="17">
        <v>0</v>
      </c>
      <c r="ML21" s="17">
        <v>0</v>
      </c>
      <c r="MM21" s="17">
        <v>0</v>
      </c>
      <c r="MN21" s="17">
        <v>0</v>
      </c>
      <c r="MO21" s="17">
        <v>0</v>
      </c>
      <c r="MP21" s="17">
        <v>0</v>
      </c>
      <c r="MQ21" s="17">
        <v>0</v>
      </c>
      <c r="MR21" s="17">
        <v>0</v>
      </c>
      <c r="MS21" s="17">
        <v>0</v>
      </c>
      <c r="MT21" s="17">
        <v>0</v>
      </c>
      <c r="MU21" s="17">
        <v>0</v>
      </c>
      <c r="MV21" s="17">
        <v>0</v>
      </c>
      <c r="MW21" s="17">
        <v>0</v>
      </c>
      <c r="MX21" s="17">
        <v>0</v>
      </c>
      <c r="MY21" s="17">
        <v>0</v>
      </c>
      <c r="MZ21" s="17">
        <v>0</v>
      </c>
      <c r="NA21" s="17">
        <v>0</v>
      </c>
      <c r="NB21" s="17">
        <v>0</v>
      </c>
      <c r="NC21" s="17">
        <v>0</v>
      </c>
      <c r="ND21" s="17">
        <v>0</v>
      </c>
      <c r="NE21" s="17">
        <v>0</v>
      </c>
      <c r="NF21" s="17">
        <v>0</v>
      </c>
      <c r="NG21" s="17">
        <v>0</v>
      </c>
      <c r="NH21" s="17">
        <v>0</v>
      </c>
      <c r="NI21" s="17">
        <v>0</v>
      </c>
      <c r="NJ21" s="17">
        <v>0</v>
      </c>
      <c r="NK21" s="17">
        <v>0</v>
      </c>
      <c r="NL21" s="17">
        <v>0</v>
      </c>
      <c r="NM21" s="17">
        <v>0</v>
      </c>
      <c r="NN21" s="17">
        <v>0</v>
      </c>
      <c r="NO21" s="17">
        <v>0</v>
      </c>
      <c r="NP21" s="17">
        <v>0</v>
      </c>
      <c r="NQ21" s="17">
        <v>0</v>
      </c>
      <c r="NR21" s="17">
        <v>0</v>
      </c>
      <c r="NS21" s="17">
        <v>0</v>
      </c>
      <c r="NT21" s="17">
        <v>0</v>
      </c>
      <c r="NU21" s="17">
        <v>0</v>
      </c>
      <c r="NV21" s="17">
        <v>0</v>
      </c>
      <c r="NW21" s="17">
        <v>0</v>
      </c>
      <c r="NX21" s="17">
        <v>0</v>
      </c>
      <c r="NY21" s="17">
        <v>0</v>
      </c>
      <c r="NZ21" s="17">
        <v>0</v>
      </c>
      <c r="OA21" s="17">
        <v>0</v>
      </c>
      <c r="OB21" s="17">
        <v>0</v>
      </c>
      <c r="OC21" s="17">
        <v>0</v>
      </c>
      <c r="OD21" s="17">
        <v>0</v>
      </c>
      <c r="OE21" s="17">
        <v>0</v>
      </c>
      <c r="OF21" s="17">
        <v>0</v>
      </c>
      <c r="OG21" s="17">
        <v>0</v>
      </c>
      <c r="OH21" s="17">
        <v>0</v>
      </c>
      <c r="OI21" s="17">
        <v>0</v>
      </c>
      <c r="OJ21" s="17">
        <v>0</v>
      </c>
      <c r="OK21" s="17">
        <v>0</v>
      </c>
      <c r="OL21" s="17">
        <v>0</v>
      </c>
      <c r="OM21" s="17">
        <v>0</v>
      </c>
      <c r="ON21" s="17">
        <v>0</v>
      </c>
      <c r="OO21" s="17">
        <v>0</v>
      </c>
      <c r="OP21" s="17">
        <v>0</v>
      </c>
      <c r="OQ21" s="17">
        <v>0</v>
      </c>
      <c r="OR21" s="17">
        <v>0</v>
      </c>
      <c r="OS21" s="17">
        <v>0</v>
      </c>
      <c r="OT21" s="17">
        <v>0</v>
      </c>
      <c r="OU21" s="17">
        <v>0</v>
      </c>
      <c r="OV21" s="17">
        <v>0</v>
      </c>
      <c r="OW21" s="17">
        <v>0</v>
      </c>
      <c r="OX21" s="17">
        <v>0</v>
      </c>
      <c r="OY21" s="17">
        <v>0</v>
      </c>
      <c r="OZ21" s="17">
        <v>0</v>
      </c>
      <c r="PA21" s="17">
        <v>0</v>
      </c>
      <c r="PB21" s="17">
        <v>0</v>
      </c>
      <c r="PC21" s="17">
        <v>0</v>
      </c>
      <c r="PD21" s="17">
        <v>0</v>
      </c>
      <c r="PE21" s="17">
        <v>0</v>
      </c>
      <c r="PF21" s="17">
        <v>0</v>
      </c>
      <c r="PG21" s="17">
        <v>0</v>
      </c>
      <c r="PH21" s="17">
        <v>0</v>
      </c>
      <c r="PI21" s="17">
        <v>0</v>
      </c>
      <c r="PJ21" s="17">
        <v>0</v>
      </c>
      <c r="PK21" s="17">
        <v>0</v>
      </c>
      <c r="PL21" s="17">
        <v>0</v>
      </c>
    </row>
    <row r="22" spans="1:428" s="12" customFormat="1" outlineLevel="1">
      <c r="A22" s="20" t="s">
        <v>19</v>
      </c>
      <c r="B22" s="12" t="s">
        <v>20</v>
      </c>
      <c r="C22" s="12" t="str">
        <f t="shared" si="21"/>
        <v>LensRectangle LBlack (low cost)</v>
      </c>
      <c r="D22" s="12" t="s">
        <v>33</v>
      </c>
      <c r="E22" s="16" t="s">
        <v>14</v>
      </c>
      <c r="F22" s="13" t="s">
        <v>5</v>
      </c>
      <c r="G22" s="13" t="s">
        <v>34</v>
      </c>
      <c r="H22" s="14">
        <v>318003500484</v>
      </c>
      <c r="I22" s="13"/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  <c r="DZ22" s="17">
        <v>0</v>
      </c>
      <c r="EA22" s="17">
        <v>0</v>
      </c>
      <c r="EB22" s="17">
        <v>0</v>
      </c>
      <c r="EC22" s="17">
        <v>0</v>
      </c>
      <c r="ED22" s="17">
        <v>0</v>
      </c>
      <c r="EE22" s="17">
        <v>0</v>
      </c>
      <c r="EF22" s="17">
        <v>0</v>
      </c>
      <c r="EG22" s="17">
        <v>0</v>
      </c>
      <c r="EH22" s="17">
        <v>0</v>
      </c>
      <c r="EI22" s="17">
        <v>0</v>
      </c>
      <c r="EJ22" s="17">
        <v>0</v>
      </c>
      <c r="EK22" s="17">
        <v>0</v>
      </c>
      <c r="EL22" s="17">
        <v>0</v>
      </c>
      <c r="EM22" s="17">
        <v>0</v>
      </c>
      <c r="EN22" s="17">
        <v>0</v>
      </c>
      <c r="EO22" s="17">
        <v>0</v>
      </c>
      <c r="EP22" s="17">
        <v>0</v>
      </c>
      <c r="EQ22" s="17">
        <v>0</v>
      </c>
      <c r="ER22" s="17">
        <v>0</v>
      </c>
      <c r="ES22" s="17">
        <v>0</v>
      </c>
      <c r="ET22" s="17">
        <v>0</v>
      </c>
      <c r="EU22" s="17">
        <v>0</v>
      </c>
      <c r="EV22" s="17">
        <v>0</v>
      </c>
      <c r="EW22" s="17">
        <v>0</v>
      </c>
      <c r="EX22" s="17">
        <v>0</v>
      </c>
      <c r="EY22" s="17">
        <v>0</v>
      </c>
      <c r="EZ22" s="17">
        <v>0</v>
      </c>
      <c r="FA22" s="17">
        <v>0</v>
      </c>
      <c r="FB22" s="17">
        <v>0</v>
      </c>
      <c r="FC22" s="17">
        <v>0</v>
      </c>
      <c r="FD22" s="17">
        <v>0</v>
      </c>
      <c r="FE22" s="17">
        <v>0</v>
      </c>
      <c r="FF22" s="17">
        <v>0</v>
      </c>
      <c r="FG22" s="17">
        <v>0</v>
      </c>
      <c r="FH22" s="17">
        <v>0</v>
      </c>
      <c r="FI22" s="17">
        <v>0</v>
      </c>
      <c r="FJ22" s="17">
        <v>0</v>
      </c>
      <c r="FK22" s="17">
        <v>0</v>
      </c>
      <c r="FL22" s="17">
        <v>0</v>
      </c>
      <c r="FM22" s="17">
        <v>0</v>
      </c>
      <c r="FN22" s="17">
        <v>0</v>
      </c>
      <c r="FO22" s="17">
        <v>0</v>
      </c>
      <c r="FP22" s="17">
        <v>0</v>
      </c>
      <c r="FQ22" s="17">
        <v>0</v>
      </c>
      <c r="FR22" s="17">
        <v>0</v>
      </c>
      <c r="FS22" s="17">
        <v>0</v>
      </c>
      <c r="FT22" s="17">
        <v>0</v>
      </c>
      <c r="FU22" s="17">
        <v>0</v>
      </c>
      <c r="FV22" s="17">
        <v>0</v>
      </c>
      <c r="FW22" s="17">
        <v>0</v>
      </c>
      <c r="FX22" s="17">
        <v>0</v>
      </c>
      <c r="FY22" s="17">
        <v>0</v>
      </c>
      <c r="FZ22" s="17">
        <v>0</v>
      </c>
      <c r="GA22" s="17">
        <v>0</v>
      </c>
      <c r="GB22" s="17">
        <v>0</v>
      </c>
      <c r="GC22" s="17">
        <v>0</v>
      </c>
      <c r="GD22" s="17">
        <v>0</v>
      </c>
      <c r="GE22" s="17">
        <v>0</v>
      </c>
      <c r="GF22" s="17">
        <v>0</v>
      </c>
      <c r="GG22" s="17">
        <v>0</v>
      </c>
      <c r="GH22" s="17">
        <v>0</v>
      </c>
      <c r="GI22" s="17">
        <v>0</v>
      </c>
      <c r="GJ22" s="17">
        <v>0</v>
      </c>
      <c r="GK22" s="17">
        <v>0</v>
      </c>
      <c r="GL22" s="17">
        <v>0</v>
      </c>
      <c r="GM22" s="17">
        <v>0</v>
      </c>
      <c r="GN22" s="17">
        <v>0</v>
      </c>
      <c r="GO22" s="17">
        <v>0</v>
      </c>
      <c r="GP22" s="17">
        <v>0</v>
      </c>
      <c r="GQ22" s="17">
        <v>0</v>
      </c>
      <c r="GR22" s="17">
        <v>0</v>
      </c>
      <c r="GS22" s="17">
        <v>0</v>
      </c>
      <c r="GT22" s="17">
        <v>0</v>
      </c>
      <c r="GU22" s="17">
        <v>0</v>
      </c>
      <c r="GV22" s="17">
        <v>0</v>
      </c>
      <c r="GW22" s="17">
        <v>0</v>
      </c>
      <c r="GX22" s="17">
        <v>0</v>
      </c>
      <c r="GY22" s="17">
        <v>0</v>
      </c>
      <c r="GZ22" s="17">
        <v>0</v>
      </c>
      <c r="HA22" s="17">
        <v>0</v>
      </c>
      <c r="HB22" s="17">
        <v>0</v>
      </c>
      <c r="HC22" s="17">
        <v>0</v>
      </c>
      <c r="HD22" s="17">
        <v>0</v>
      </c>
      <c r="HE22" s="17">
        <v>0</v>
      </c>
      <c r="HF22" s="17">
        <v>0</v>
      </c>
      <c r="HG22" s="17">
        <v>0</v>
      </c>
      <c r="HH22" s="17">
        <v>0</v>
      </c>
      <c r="HI22" s="17">
        <v>0</v>
      </c>
      <c r="HJ22" s="17">
        <v>0</v>
      </c>
      <c r="HK22" s="17">
        <v>0</v>
      </c>
      <c r="HL22" s="17">
        <v>0</v>
      </c>
      <c r="HM22" s="17">
        <v>0</v>
      </c>
      <c r="HN22" s="17">
        <v>0</v>
      </c>
      <c r="HO22" s="17">
        <v>0</v>
      </c>
      <c r="HP22" s="17">
        <v>0</v>
      </c>
      <c r="HQ22" s="17">
        <v>0</v>
      </c>
      <c r="HR22" s="17">
        <v>0</v>
      </c>
      <c r="HS22" s="17">
        <v>0</v>
      </c>
      <c r="HT22" s="17">
        <v>0</v>
      </c>
      <c r="HU22" s="17">
        <v>0</v>
      </c>
      <c r="HV22" s="17">
        <v>0</v>
      </c>
      <c r="HW22" s="17">
        <v>0</v>
      </c>
      <c r="HX22" s="17">
        <v>0</v>
      </c>
      <c r="HY22" s="17">
        <v>0</v>
      </c>
      <c r="HZ22" s="17">
        <v>0</v>
      </c>
      <c r="IA22" s="17">
        <v>0</v>
      </c>
      <c r="IB22" s="17">
        <v>0</v>
      </c>
      <c r="IC22" s="17">
        <v>0</v>
      </c>
      <c r="ID22" s="17">
        <v>0</v>
      </c>
      <c r="IE22" s="17">
        <v>0</v>
      </c>
      <c r="IF22" s="17">
        <v>0</v>
      </c>
      <c r="IG22" s="17">
        <v>0</v>
      </c>
      <c r="IH22" s="17">
        <v>0</v>
      </c>
      <c r="II22" s="17">
        <v>0</v>
      </c>
      <c r="IJ22" s="17">
        <v>0</v>
      </c>
      <c r="IK22" s="17">
        <v>0</v>
      </c>
      <c r="IL22" s="17">
        <v>0</v>
      </c>
      <c r="IM22" s="17">
        <v>0</v>
      </c>
      <c r="IN22" s="17">
        <v>0</v>
      </c>
      <c r="IO22" s="17">
        <v>0</v>
      </c>
      <c r="IP22" s="17">
        <v>0</v>
      </c>
      <c r="IQ22" s="17">
        <v>0</v>
      </c>
      <c r="IR22" s="17">
        <v>0</v>
      </c>
      <c r="IS22" s="17">
        <v>0</v>
      </c>
      <c r="IT22" s="17">
        <v>0</v>
      </c>
      <c r="IU22" s="17">
        <v>0</v>
      </c>
      <c r="IV22" s="17">
        <v>0</v>
      </c>
      <c r="IW22" s="17">
        <v>0</v>
      </c>
      <c r="IX22" s="17">
        <v>0</v>
      </c>
      <c r="IY22" s="17">
        <v>0</v>
      </c>
      <c r="IZ22" s="17">
        <v>0</v>
      </c>
      <c r="JA22" s="17">
        <v>0</v>
      </c>
      <c r="JB22" s="17">
        <v>0</v>
      </c>
      <c r="JC22" s="17">
        <v>0</v>
      </c>
      <c r="JD22" s="17">
        <v>0</v>
      </c>
      <c r="JE22" s="17">
        <v>0</v>
      </c>
      <c r="JF22" s="17">
        <v>0</v>
      </c>
      <c r="JG22" s="17">
        <v>0</v>
      </c>
      <c r="JH22" s="17">
        <v>0</v>
      </c>
      <c r="JI22" s="17">
        <v>0</v>
      </c>
      <c r="JJ22" s="17">
        <v>0</v>
      </c>
      <c r="JK22" s="17">
        <v>0</v>
      </c>
      <c r="JL22" s="17">
        <v>0</v>
      </c>
      <c r="JM22" s="17">
        <v>0</v>
      </c>
      <c r="JN22" s="17">
        <v>0</v>
      </c>
      <c r="JO22" s="17">
        <v>0</v>
      </c>
      <c r="JP22" s="17">
        <v>0</v>
      </c>
      <c r="JQ22" s="17">
        <v>0</v>
      </c>
      <c r="JR22" s="17">
        <v>0</v>
      </c>
      <c r="JS22" s="17">
        <v>0</v>
      </c>
      <c r="JT22" s="17">
        <v>0</v>
      </c>
      <c r="JU22" s="17">
        <v>0</v>
      </c>
      <c r="JV22" s="17">
        <v>0</v>
      </c>
      <c r="JW22" s="17">
        <v>0</v>
      </c>
      <c r="JX22" s="17">
        <v>0</v>
      </c>
      <c r="JY22" s="17">
        <v>0</v>
      </c>
      <c r="JZ22" s="17">
        <v>0</v>
      </c>
      <c r="KA22" s="17">
        <v>0</v>
      </c>
      <c r="KB22" s="17">
        <v>0</v>
      </c>
      <c r="KC22" s="17">
        <v>0</v>
      </c>
      <c r="KD22" s="17">
        <v>0</v>
      </c>
      <c r="KE22" s="17">
        <v>0</v>
      </c>
      <c r="KF22" s="17">
        <v>0</v>
      </c>
      <c r="KG22" s="17">
        <v>0</v>
      </c>
      <c r="KH22" s="17">
        <v>0</v>
      </c>
      <c r="KI22" s="17">
        <v>0</v>
      </c>
      <c r="KJ22" s="17">
        <v>0</v>
      </c>
      <c r="KK22" s="17">
        <v>0</v>
      </c>
      <c r="KL22" s="17">
        <v>0</v>
      </c>
      <c r="KM22" s="17">
        <v>0</v>
      </c>
      <c r="KN22" s="17">
        <v>0</v>
      </c>
      <c r="KO22" s="17">
        <v>0</v>
      </c>
      <c r="KP22" s="17">
        <v>0</v>
      </c>
      <c r="KQ22" s="17">
        <v>0</v>
      </c>
      <c r="KR22" s="17">
        <v>0</v>
      </c>
      <c r="KS22" s="17">
        <v>0</v>
      </c>
      <c r="KT22" s="17">
        <v>0</v>
      </c>
      <c r="KU22" s="17">
        <v>0</v>
      </c>
      <c r="KV22" s="17">
        <v>0</v>
      </c>
      <c r="KW22" s="17">
        <v>0</v>
      </c>
      <c r="KX22" s="17">
        <v>0</v>
      </c>
      <c r="KY22" s="17">
        <v>0</v>
      </c>
      <c r="KZ22" s="17">
        <v>0</v>
      </c>
      <c r="LA22" s="17">
        <v>0</v>
      </c>
      <c r="LB22" s="17">
        <v>0</v>
      </c>
      <c r="LC22" s="17">
        <v>0</v>
      </c>
      <c r="LD22" s="17">
        <v>0</v>
      </c>
      <c r="LE22" s="17">
        <v>0</v>
      </c>
      <c r="LF22" s="17">
        <v>0</v>
      </c>
      <c r="LG22" s="17">
        <v>0</v>
      </c>
      <c r="LH22" s="17">
        <v>0</v>
      </c>
      <c r="LI22" s="17">
        <v>0</v>
      </c>
      <c r="LJ22" s="17">
        <v>0</v>
      </c>
      <c r="LK22" s="17">
        <v>0</v>
      </c>
      <c r="LL22" s="17">
        <v>0</v>
      </c>
      <c r="LM22" s="17">
        <v>0</v>
      </c>
      <c r="LN22" s="17">
        <v>0</v>
      </c>
      <c r="LO22" s="17">
        <v>0</v>
      </c>
      <c r="LP22" s="17">
        <v>0</v>
      </c>
      <c r="LQ22" s="17">
        <v>0</v>
      </c>
      <c r="LR22" s="17">
        <v>0</v>
      </c>
      <c r="LS22" s="17">
        <v>0</v>
      </c>
      <c r="LT22" s="17">
        <v>0</v>
      </c>
      <c r="LU22" s="17">
        <v>0</v>
      </c>
      <c r="LV22" s="17">
        <v>0</v>
      </c>
      <c r="LW22" s="17">
        <v>0</v>
      </c>
      <c r="LX22" s="17">
        <v>0</v>
      </c>
      <c r="LY22" s="17">
        <v>0</v>
      </c>
      <c r="LZ22" s="17">
        <v>0</v>
      </c>
      <c r="MA22" s="17">
        <v>0</v>
      </c>
      <c r="MB22" s="17">
        <v>0</v>
      </c>
      <c r="MC22" s="17">
        <v>0</v>
      </c>
      <c r="MD22" s="17">
        <v>0</v>
      </c>
      <c r="ME22" s="17">
        <v>0</v>
      </c>
      <c r="MF22" s="17">
        <v>0</v>
      </c>
      <c r="MG22" s="17">
        <v>0</v>
      </c>
      <c r="MH22" s="17">
        <v>0</v>
      </c>
      <c r="MI22" s="17">
        <v>0</v>
      </c>
      <c r="MJ22" s="17">
        <v>0</v>
      </c>
      <c r="MK22" s="17">
        <v>0</v>
      </c>
      <c r="ML22" s="17">
        <v>0</v>
      </c>
      <c r="MM22" s="17">
        <v>0</v>
      </c>
      <c r="MN22" s="17">
        <v>0</v>
      </c>
      <c r="MO22" s="17">
        <v>0</v>
      </c>
      <c r="MP22" s="17">
        <v>0</v>
      </c>
      <c r="MQ22" s="17">
        <v>0</v>
      </c>
      <c r="MR22" s="17">
        <v>0</v>
      </c>
      <c r="MS22" s="17">
        <v>0</v>
      </c>
      <c r="MT22" s="17">
        <v>0</v>
      </c>
      <c r="MU22" s="17">
        <v>0</v>
      </c>
      <c r="MV22" s="17">
        <v>0</v>
      </c>
      <c r="MW22" s="17">
        <v>0</v>
      </c>
      <c r="MX22" s="17">
        <v>0</v>
      </c>
      <c r="MY22" s="17">
        <v>0</v>
      </c>
      <c r="MZ22" s="17">
        <v>0</v>
      </c>
      <c r="NA22" s="17">
        <v>0</v>
      </c>
      <c r="NB22" s="17">
        <v>0</v>
      </c>
      <c r="NC22" s="17">
        <v>0</v>
      </c>
      <c r="ND22" s="17">
        <v>0</v>
      </c>
      <c r="NE22" s="17">
        <v>0</v>
      </c>
      <c r="NF22" s="17">
        <v>0</v>
      </c>
      <c r="NG22" s="17">
        <v>0</v>
      </c>
      <c r="NH22" s="17">
        <v>0</v>
      </c>
      <c r="NI22" s="17">
        <v>0</v>
      </c>
      <c r="NJ22" s="17">
        <v>0</v>
      </c>
      <c r="NK22" s="17">
        <v>0</v>
      </c>
      <c r="NL22" s="17">
        <v>0</v>
      </c>
      <c r="NM22" s="17">
        <v>0</v>
      </c>
      <c r="NN22" s="17">
        <v>0</v>
      </c>
      <c r="NO22" s="17">
        <v>0</v>
      </c>
      <c r="NP22" s="17">
        <v>0</v>
      </c>
      <c r="NQ22" s="17">
        <v>0</v>
      </c>
      <c r="NR22" s="17">
        <v>0</v>
      </c>
      <c r="NS22" s="17">
        <v>0</v>
      </c>
      <c r="NT22" s="17">
        <v>0</v>
      </c>
      <c r="NU22" s="17">
        <v>0</v>
      </c>
      <c r="NV22" s="17">
        <v>0</v>
      </c>
      <c r="NW22" s="17">
        <v>0</v>
      </c>
      <c r="NX22" s="17">
        <v>0</v>
      </c>
      <c r="NY22" s="17">
        <v>0</v>
      </c>
      <c r="NZ22" s="17">
        <v>0</v>
      </c>
      <c r="OA22" s="17">
        <v>0</v>
      </c>
      <c r="OB22" s="17">
        <v>0</v>
      </c>
      <c r="OC22" s="17">
        <v>0</v>
      </c>
      <c r="OD22" s="17">
        <v>0</v>
      </c>
      <c r="OE22" s="17">
        <v>0</v>
      </c>
      <c r="OF22" s="17">
        <v>0</v>
      </c>
      <c r="OG22" s="17">
        <v>0</v>
      </c>
      <c r="OH22" s="17">
        <v>0</v>
      </c>
      <c r="OI22" s="17">
        <v>0</v>
      </c>
      <c r="OJ22" s="17">
        <v>0</v>
      </c>
      <c r="OK22" s="17">
        <v>0</v>
      </c>
      <c r="OL22" s="17">
        <v>0</v>
      </c>
      <c r="OM22" s="17">
        <v>0</v>
      </c>
      <c r="ON22" s="17">
        <v>0</v>
      </c>
      <c r="OO22" s="17">
        <v>0</v>
      </c>
      <c r="OP22" s="17">
        <v>0</v>
      </c>
      <c r="OQ22" s="17">
        <v>0</v>
      </c>
      <c r="OR22" s="17">
        <v>0</v>
      </c>
      <c r="OS22" s="17">
        <v>0</v>
      </c>
      <c r="OT22" s="17">
        <v>0</v>
      </c>
      <c r="OU22" s="17">
        <v>0</v>
      </c>
      <c r="OV22" s="17">
        <v>0</v>
      </c>
      <c r="OW22" s="17">
        <v>0</v>
      </c>
      <c r="OX22" s="17">
        <v>0</v>
      </c>
      <c r="OY22" s="17">
        <v>0</v>
      </c>
      <c r="OZ22" s="17">
        <v>0</v>
      </c>
      <c r="PA22" s="17">
        <v>0</v>
      </c>
      <c r="PB22" s="17">
        <v>0</v>
      </c>
      <c r="PC22" s="17">
        <v>0</v>
      </c>
      <c r="PD22" s="17">
        <v>0</v>
      </c>
      <c r="PE22" s="17">
        <v>0</v>
      </c>
      <c r="PF22" s="17">
        <v>0</v>
      </c>
      <c r="PG22" s="17">
        <v>0</v>
      </c>
      <c r="PH22" s="17">
        <v>0</v>
      </c>
      <c r="PI22" s="17">
        <v>0</v>
      </c>
      <c r="PJ22" s="17">
        <v>0</v>
      </c>
      <c r="PK22" s="17">
        <v>0</v>
      </c>
      <c r="PL22" s="17">
        <v>0</v>
      </c>
    </row>
    <row r="23" spans="1:428" s="12" customFormat="1" outlineLevel="1">
      <c r="A23" s="20" t="s">
        <v>19</v>
      </c>
      <c r="B23" s="12" t="s">
        <v>21</v>
      </c>
      <c r="C23" s="12" t="str">
        <f t="shared" si="21"/>
        <v>LensBoldShadow</v>
      </c>
      <c r="D23" s="12" t="s">
        <v>33</v>
      </c>
      <c r="E23" s="16" t="s">
        <v>14</v>
      </c>
      <c r="F23" s="13" t="s">
        <v>6</v>
      </c>
      <c r="G23" s="13" t="s">
        <v>28</v>
      </c>
      <c r="H23" s="14">
        <v>318003500484</v>
      </c>
      <c r="I23" s="13"/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  <c r="DZ23" s="17">
        <v>0</v>
      </c>
      <c r="EA23" s="17">
        <v>0</v>
      </c>
      <c r="EB23" s="17">
        <v>0</v>
      </c>
      <c r="EC23" s="17">
        <v>0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0</v>
      </c>
      <c r="EJ23" s="17">
        <v>0</v>
      </c>
      <c r="EK23" s="17">
        <v>0</v>
      </c>
      <c r="EL23" s="17">
        <v>0</v>
      </c>
      <c r="EM23" s="17">
        <v>0</v>
      </c>
      <c r="EN23" s="17">
        <v>0</v>
      </c>
      <c r="EO23" s="17">
        <v>0</v>
      </c>
      <c r="EP23" s="17">
        <v>0</v>
      </c>
      <c r="EQ23" s="17">
        <v>0</v>
      </c>
      <c r="ER23" s="17">
        <v>0</v>
      </c>
      <c r="ES23" s="17">
        <v>0</v>
      </c>
      <c r="ET23" s="17">
        <v>0</v>
      </c>
      <c r="EU23" s="17">
        <v>0</v>
      </c>
      <c r="EV23" s="17">
        <v>0</v>
      </c>
      <c r="EW23" s="17">
        <v>0</v>
      </c>
      <c r="EX23" s="17">
        <v>0</v>
      </c>
      <c r="EY23" s="17">
        <v>0</v>
      </c>
      <c r="EZ23" s="17">
        <v>0</v>
      </c>
      <c r="FA23" s="17">
        <v>0</v>
      </c>
      <c r="FB23" s="17">
        <v>0</v>
      </c>
      <c r="FC23" s="17">
        <v>0</v>
      </c>
      <c r="FD23" s="17">
        <v>0</v>
      </c>
      <c r="FE23" s="17">
        <v>0</v>
      </c>
      <c r="FF23" s="17">
        <v>0</v>
      </c>
      <c r="FG23" s="17">
        <v>0</v>
      </c>
      <c r="FH23" s="17">
        <v>0</v>
      </c>
      <c r="FI23" s="17">
        <v>0</v>
      </c>
      <c r="FJ23" s="17">
        <v>1248</v>
      </c>
      <c r="FK23" s="17">
        <v>2154</v>
      </c>
      <c r="FL23" s="17">
        <v>2154</v>
      </c>
      <c r="FM23" s="17">
        <v>2784</v>
      </c>
      <c r="FN23" s="17">
        <v>2784</v>
      </c>
      <c r="FO23" s="17">
        <v>2784</v>
      </c>
      <c r="FP23" s="17">
        <v>2784</v>
      </c>
      <c r="FQ23" s="17">
        <v>2784</v>
      </c>
      <c r="FR23" s="17">
        <v>2784</v>
      </c>
      <c r="FS23" s="17">
        <v>2784</v>
      </c>
      <c r="FT23" s="17">
        <v>2784</v>
      </c>
      <c r="FU23" s="17">
        <v>2784</v>
      </c>
      <c r="FV23" s="17">
        <v>2784</v>
      </c>
      <c r="FW23" s="17">
        <v>2784</v>
      </c>
      <c r="FX23" s="17">
        <v>2784</v>
      </c>
      <c r="FY23" s="17">
        <v>2784</v>
      </c>
      <c r="FZ23" s="17">
        <v>2784</v>
      </c>
      <c r="GA23" s="17">
        <v>2784</v>
      </c>
      <c r="GB23" s="17">
        <v>2784</v>
      </c>
      <c r="GC23" s="17">
        <v>2784</v>
      </c>
      <c r="GD23" s="17">
        <v>2784</v>
      </c>
      <c r="GE23" s="17">
        <v>2784</v>
      </c>
      <c r="GF23" s="17">
        <v>2784</v>
      </c>
      <c r="GG23" s="17">
        <v>2784</v>
      </c>
      <c r="GH23" s="17">
        <v>2784</v>
      </c>
      <c r="GI23" s="17">
        <v>2784</v>
      </c>
      <c r="GJ23" s="17">
        <v>2784</v>
      </c>
      <c r="GK23" s="17">
        <v>2784</v>
      </c>
      <c r="GL23" s="17">
        <v>2784</v>
      </c>
      <c r="GM23" s="17">
        <v>2784</v>
      </c>
      <c r="GN23" s="17">
        <v>2784</v>
      </c>
      <c r="GO23" s="17">
        <v>2784</v>
      </c>
      <c r="GP23" s="17">
        <v>2784</v>
      </c>
      <c r="GQ23" s="17">
        <v>2784</v>
      </c>
      <c r="GR23" s="17">
        <v>2784</v>
      </c>
      <c r="GS23" s="17">
        <v>2784</v>
      </c>
      <c r="GT23" s="17">
        <v>2784</v>
      </c>
      <c r="GU23" s="17">
        <v>2784</v>
      </c>
      <c r="GV23" s="17">
        <v>2784</v>
      </c>
      <c r="GW23" s="17">
        <v>2784</v>
      </c>
      <c r="GX23" s="17">
        <v>2784</v>
      </c>
      <c r="GY23" s="17">
        <v>2784</v>
      </c>
      <c r="GZ23" s="17">
        <v>2784</v>
      </c>
      <c r="HA23" s="17">
        <v>2784</v>
      </c>
      <c r="HB23" s="17">
        <v>2784</v>
      </c>
      <c r="HC23" s="17">
        <v>2784</v>
      </c>
      <c r="HD23" s="17">
        <v>2784</v>
      </c>
      <c r="HE23" s="17">
        <v>2784</v>
      </c>
      <c r="HF23" s="17">
        <v>2784</v>
      </c>
      <c r="HG23" s="17">
        <v>2784</v>
      </c>
      <c r="HH23" s="17">
        <v>2784</v>
      </c>
      <c r="HI23" s="17">
        <v>2784</v>
      </c>
      <c r="HJ23" s="17">
        <v>2784</v>
      </c>
      <c r="HK23" s="17">
        <v>2784</v>
      </c>
      <c r="HL23" s="17">
        <v>2784</v>
      </c>
      <c r="HM23" s="17">
        <v>2784</v>
      </c>
      <c r="HN23" s="17">
        <v>2784</v>
      </c>
      <c r="HO23" s="17">
        <v>2784</v>
      </c>
      <c r="HP23" s="17">
        <v>2784</v>
      </c>
      <c r="HQ23" s="17">
        <v>2784</v>
      </c>
      <c r="HR23" s="17">
        <v>2784</v>
      </c>
      <c r="HS23" s="17">
        <v>2784</v>
      </c>
      <c r="HT23" s="17">
        <v>2784</v>
      </c>
      <c r="HU23" s="17">
        <v>2784</v>
      </c>
      <c r="HV23" s="17">
        <v>2784</v>
      </c>
      <c r="HW23" s="17">
        <v>2784</v>
      </c>
      <c r="HX23" s="17">
        <v>2784</v>
      </c>
      <c r="HY23" s="17">
        <v>2784</v>
      </c>
      <c r="HZ23" s="17">
        <v>2784</v>
      </c>
      <c r="IA23" s="17">
        <v>2784</v>
      </c>
      <c r="IB23" s="17">
        <v>2784</v>
      </c>
      <c r="IC23" s="17">
        <v>2784</v>
      </c>
      <c r="ID23" s="17">
        <v>2784</v>
      </c>
      <c r="IE23" s="17">
        <v>2784</v>
      </c>
      <c r="IF23" s="17">
        <v>2784</v>
      </c>
      <c r="IG23" s="17">
        <v>2784</v>
      </c>
      <c r="IH23" s="17">
        <v>2784</v>
      </c>
      <c r="II23" s="17">
        <v>2784</v>
      </c>
      <c r="IJ23" s="17">
        <v>2784</v>
      </c>
      <c r="IK23" s="17">
        <v>2784</v>
      </c>
      <c r="IL23" s="17">
        <v>2784</v>
      </c>
      <c r="IM23" s="17">
        <v>2784</v>
      </c>
      <c r="IN23" s="17">
        <v>2784</v>
      </c>
      <c r="IO23" s="17">
        <v>2784</v>
      </c>
      <c r="IP23" s="17">
        <v>2784</v>
      </c>
      <c r="IQ23" s="17">
        <v>2784</v>
      </c>
      <c r="IR23" s="17">
        <v>2784</v>
      </c>
      <c r="IS23" s="17">
        <v>2784</v>
      </c>
      <c r="IT23" s="17">
        <v>2784</v>
      </c>
      <c r="IU23" s="17">
        <v>2784</v>
      </c>
      <c r="IV23" s="17">
        <v>2784</v>
      </c>
      <c r="IW23" s="17">
        <v>2784</v>
      </c>
      <c r="IX23" s="17">
        <v>2784</v>
      </c>
      <c r="IY23" s="17">
        <v>2784</v>
      </c>
      <c r="IZ23" s="17">
        <v>2784</v>
      </c>
      <c r="JA23" s="17">
        <v>2784</v>
      </c>
      <c r="JB23" s="17">
        <v>2784</v>
      </c>
      <c r="JC23" s="17">
        <v>2784</v>
      </c>
      <c r="JD23" s="17">
        <v>2784</v>
      </c>
      <c r="JE23" s="17">
        <v>2784</v>
      </c>
      <c r="JF23" s="17">
        <v>2784</v>
      </c>
      <c r="JG23" s="17">
        <v>2784</v>
      </c>
      <c r="JH23" s="17">
        <v>2784</v>
      </c>
      <c r="JI23" s="17">
        <v>2784</v>
      </c>
      <c r="JJ23" s="17">
        <v>2784</v>
      </c>
      <c r="JK23" s="17">
        <v>2784</v>
      </c>
      <c r="JL23" s="17">
        <v>2784</v>
      </c>
      <c r="JM23" s="17">
        <v>2784</v>
      </c>
      <c r="JN23" s="17">
        <v>2784</v>
      </c>
      <c r="JO23" s="17">
        <v>2784</v>
      </c>
      <c r="JP23" s="17">
        <v>2784</v>
      </c>
      <c r="JQ23" s="17">
        <v>2784</v>
      </c>
      <c r="JR23" s="17">
        <v>2784</v>
      </c>
      <c r="JS23" s="17">
        <v>2784</v>
      </c>
      <c r="JT23" s="17">
        <v>2784</v>
      </c>
      <c r="JU23" s="17">
        <v>2784</v>
      </c>
      <c r="JV23" s="17">
        <v>2784</v>
      </c>
      <c r="JW23" s="17">
        <v>2784</v>
      </c>
      <c r="JX23" s="17">
        <v>2784</v>
      </c>
      <c r="JY23" s="17">
        <v>2784</v>
      </c>
      <c r="JZ23" s="17">
        <v>2784</v>
      </c>
      <c r="KA23" s="17">
        <v>2784</v>
      </c>
      <c r="KB23" s="17">
        <v>2784</v>
      </c>
      <c r="KC23" s="17">
        <v>2784</v>
      </c>
      <c r="KD23" s="17">
        <v>2784</v>
      </c>
      <c r="KE23" s="17">
        <v>2784</v>
      </c>
      <c r="KF23" s="17">
        <v>2784</v>
      </c>
      <c r="KG23" s="17">
        <v>2784</v>
      </c>
      <c r="KH23" s="17">
        <v>2784</v>
      </c>
      <c r="KI23" s="17">
        <v>2784</v>
      </c>
      <c r="KJ23" s="17">
        <v>2784</v>
      </c>
      <c r="KK23" s="17">
        <v>2784</v>
      </c>
      <c r="KL23" s="17">
        <v>2784</v>
      </c>
      <c r="KM23" s="17">
        <v>2784</v>
      </c>
      <c r="KN23" s="17">
        <v>2784</v>
      </c>
      <c r="KO23" s="17">
        <v>2784</v>
      </c>
      <c r="KP23" s="17">
        <v>2784</v>
      </c>
      <c r="KQ23" s="17">
        <v>2784</v>
      </c>
      <c r="KR23" s="17">
        <v>2784</v>
      </c>
      <c r="KS23" s="17">
        <v>2784</v>
      </c>
      <c r="KT23" s="17">
        <v>2784</v>
      </c>
      <c r="KU23" s="17">
        <v>2784</v>
      </c>
      <c r="KV23" s="17">
        <v>2784</v>
      </c>
      <c r="KW23" s="17">
        <v>2784</v>
      </c>
      <c r="KX23" s="17">
        <v>2784</v>
      </c>
      <c r="KY23" s="17">
        <v>2784</v>
      </c>
      <c r="KZ23" s="17">
        <v>2784</v>
      </c>
      <c r="LA23" s="17">
        <v>2784</v>
      </c>
      <c r="LB23" s="17">
        <v>2784</v>
      </c>
      <c r="LC23" s="17">
        <v>2784</v>
      </c>
      <c r="LD23" s="17">
        <v>2784</v>
      </c>
      <c r="LE23" s="17">
        <v>2784</v>
      </c>
      <c r="LF23" s="17">
        <v>2784</v>
      </c>
      <c r="LG23" s="17">
        <v>2784</v>
      </c>
      <c r="LH23" s="17">
        <v>2784</v>
      </c>
      <c r="LI23" s="17">
        <v>2784</v>
      </c>
      <c r="LJ23" s="17">
        <v>2784</v>
      </c>
      <c r="LK23" s="17">
        <v>2784</v>
      </c>
      <c r="LL23" s="17">
        <v>2784</v>
      </c>
      <c r="LM23" s="17">
        <v>2784</v>
      </c>
      <c r="LN23" s="17">
        <v>2784</v>
      </c>
      <c r="LO23" s="17">
        <v>2784</v>
      </c>
      <c r="LP23" s="17">
        <v>2784</v>
      </c>
      <c r="LQ23" s="17">
        <v>2784</v>
      </c>
      <c r="LR23" s="17">
        <v>2784</v>
      </c>
      <c r="LS23" s="17">
        <v>2784</v>
      </c>
      <c r="LT23" s="17">
        <v>2784</v>
      </c>
      <c r="LU23" s="17">
        <v>2784</v>
      </c>
      <c r="LV23" s="17">
        <v>2784</v>
      </c>
      <c r="LW23" s="17">
        <v>2784</v>
      </c>
      <c r="LX23" s="17">
        <v>2784</v>
      </c>
      <c r="LY23" s="17">
        <v>2784</v>
      </c>
      <c r="LZ23" s="17">
        <v>2784</v>
      </c>
      <c r="MA23" s="17">
        <v>2784</v>
      </c>
      <c r="MB23" s="17">
        <v>2784</v>
      </c>
      <c r="MC23" s="17">
        <v>2784</v>
      </c>
      <c r="MD23" s="17">
        <v>2784</v>
      </c>
      <c r="ME23" s="17">
        <v>2784</v>
      </c>
      <c r="MF23" s="17">
        <v>2784</v>
      </c>
      <c r="MG23" s="17">
        <v>2784</v>
      </c>
      <c r="MH23" s="17">
        <v>2784</v>
      </c>
      <c r="MI23" s="17">
        <v>2784</v>
      </c>
      <c r="MJ23" s="17">
        <v>2784</v>
      </c>
      <c r="MK23" s="17">
        <v>2784</v>
      </c>
      <c r="ML23" s="17">
        <v>2784</v>
      </c>
      <c r="MM23" s="17">
        <v>2784</v>
      </c>
      <c r="MN23" s="17">
        <v>2784</v>
      </c>
      <c r="MO23" s="17">
        <v>2784</v>
      </c>
      <c r="MP23" s="17">
        <v>2784</v>
      </c>
      <c r="MQ23" s="17">
        <v>2784</v>
      </c>
      <c r="MR23" s="17">
        <v>2784</v>
      </c>
      <c r="MS23" s="17">
        <v>2784</v>
      </c>
      <c r="MT23" s="17">
        <v>2784</v>
      </c>
      <c r="MU23" s="17">
        <v>2784</v>
      </c>
      <c r="MV23" s="17">
        <v>2784</v>
      </c>
      <c r="MW23" s="17">
        <v>2784</v>
      </c>
      <c r="MX23" s="17">
        <v>2784</v>
      </c>
      <c r="MY23" s="17">
        <v>2784</v>
      </c>
      <c r="MZ23" s="17">
        <v>2784</v>
      </c>
      <c r="NA23" s="17">
        <v>2784</v>
      </c>
      <c r="NB23" s="17">
        <v>2784</v>
      </c>
      <c r="NC23" s="17">
        <v>2784</v>
      </c>
      <c r="ND23" s="17">
        <v>2784</v>
      </c>
      <c r="NE23" s="17">
        <v>2784</v>
      </c>
      <c r="NF23" s="17">
        <v>2784</v>
      </c>
      <c r="NG23" s="17">
        <v>2784</v>
      </c>
      <c r="NH23" s="17">
        <v>2784</v>
      </c>
      <c r="NI23" s="17">
        <v>2784</v>
      </c>
      <c r="NJ23" s="17">
        <v>2784</v>
      </c>
      <c r="NK23" s="17">
        <v>2784</v>
      </c>
      <c r="NL23" s="17">
        <v>2784</v>
      </c>
      <c r="NM23" s="17">
        <v>2784</v>
      </c>
      <c r="NN23" s="17">
        <v>2784</v>
      </c>
      <c r="NO23" s="17">
        <v>2784</v>
      </c>
      <c r="NP23" s="17">
        <v>2784</v>
      </c>
      <c r="NQ23" s="17">
        <v>2784</v>
      </c>
      <c r="NR23" s="17">
        <v>2784</v>
      </c>
      <c r="NS23" s="17">
        <v>2784</v>
      </c>
      <c r="NT23" s="17">
        <v>2784</v>
      </c>
      <c r="NU23" s="17">
        <v>2784</v>
      </c>
      <c r="NV23" s="17">
        <v>2784</v>
      </c>
      <c r="NW23" s="17">
        <v>2784</v>
      </c>
      <c r="NX23" s="17">
        <v>2784</v>
      </c>
      <c r="NY23" s="17">
        <v>2784</v>
      </c>
      <c r="NZ23" s="17">
        <v>2784</v>
      </c>
      <c r="OA23" s="17">
        <v>2784</v>
      </c>
      <c r="OB23" s="17">
        <v>2784</v>
      </c>
      <c r="OC23" s="17">
        <v>2784</v>
      </c>
      <c r="OD23" s="17">
        <v>2784</v>
      </c>
      <c r="OE23" s="17">
        <v>2784</v>
      </c>
      <c r="OF23" s="17">
        <v>2784</v>
      </c>
      <c r="OG23" s="17">
        <v>2784</v>
      </c>
      <c r="OH23" s="17">
        <v>2784</v>
      </c>
      <c r="OI23" s="17">
        <v>2784</v>
      </c>
      <c r="OJ23" s="17">
        <v>2784</v>
      </c>
      <c r="OK23" s="17">
        <v>2784</v>
      </c>
      <c r="OL23" s="17">
        <v>2784</v>
      </c>
      <c r="OM23" s="17">
        <v>2784</v>
      </c>
      <c r="ON23" s="17">
        <v>2784</v>
      </c>
      <c r="OO23" s="17">
        <v>2784</v>
      </c>
      <c r="OP23" s="17">
        <v>2784</v>
      </c>
      <c r="OQ23" s="17">
        <v>2784</v>
      </c>
      <c r="OR23" s="17">
        <v>2784</v>
      </c>
      <c r="OS23" s="17">
        <v>2784</v>
      </c>
      <c r="OT23" s="17">
        <v>2784</v>
      </c>
      <c r="OU23" s="17">
        <v>2784</v>
      </c>
      <c r="OV23" s="17">
        <v>2784</v>
      </c>
      <c r="OW23" s="17">
        <v>2784</v>
      </c>
      <c r="OX23" s="17">
        <v>2784</v>
      </c>
      <c r="OY23" s="17">
        <v>2784</v>
      </c>
      <c r="OZ23" s="17">
        <v>2784</v>
      </c>
      <c r="PA23" s="17">
        <v>2784</v>
      </c>
      <c r="PB23" s="17">
        <v>2784</v>
      </c>
      <c r="PC23" s="17">
        <v>2784</v>
      </c>
      <c r="PD23" s="17">
        <v>2784</v>
      </c>
      <c r="PE23" s="17">
        <v>2784</v>
      </c>
      <c r="PF23" s="17">
        <v>2784</v>
      </c>
      <c r="PG23" s="17">
        <v>2784</v>
      </c>
      <c r="PH23" s="17">
        <v>2784</v>
      </c>
      <c r="PI23" s="17">
        <v>2784</v>
      </c>
      <c r="PJ23" s="17">
        <v>2784</v>
      </c>
      <c r="PK23" s="17">
        <v>2784</v>
      </c>
      <c r="PL23" s="17">
        <v>2784</v>
      </c>
    </row>
    <row r="24" spans="1:428" s="12" customFormat="1" outlineLevel="1">
      <c r="A24" s="20" t="s">
        <v>19</v>
      </c>
      <c r="B24" s="12" t="s">
        <v>21</v>
      </c>
      <c r="C24" s="12" t="str">
        <f t="shared" si="21"/>
        <v>LensBoldClear</v>
      </c>
      <c r="D24" s="12" t="s">
        <v>33</v>
      </c>
      <c r="E24" s="16" t="s">
        <v>14</v>
      </c>
      <c r="F24" s="13" t="s">
        <v>6</v>
      </c>
      <c r="G24" s="13" t="s">
        <v>12</v>
      </c>
      <c r="H24" s="14">
        <v>306000514239</v>
      </c>
      <c r="I24" s="13"/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  <c r="DZ24" s="17">
        <v>0</v>
      </c>
      <c r="EA24" s="17">
        <v>0</v>
      </c>
      <c r="EB24" s="17">
        <v>0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0</v>
      </c>
      <c r="EI24" s="17">
        <v>0</v>
      </c>
      <c r="EJ24" s="17">
        <v>0</v>
      </c>
      <c r="EK24" s="17">
        <v>0</v>
      </c>
      <c r="EL24" s="17">
        <v>0</v>
      </c>
      <c r="EM24" s="17">
        <v>0</v>
      </c>
      <c r="EN24" s="17">
        <v>0</v>
      </c>
      <c r="EO24" s="17">
        <v>0</v>
      </c>
      <c r="EP24" s="17">
        <v>0</v>
      </c>
      <c r="EQ24" s="17">
        <v>0</v>
      </c>
      <c r="ER24" s="17">
        <v>0</v>
      </c>
      <c r="ES24" s="17">
        <v>0</v>
      </c>
      <c r="ET24" s="17">
        <v>0</v>
      </c>
      <c r="EU24" s="17">
        <v>0</v>
      </c>
      <c r="EV24" s="17">
        <v>0</v>
      </c>
      <c r="EW24" s="17">
        <v>0</v>
      </c>
      <c r="EX24" s="17">
        <v>0</v>
      </c>
      <c r="EY24" s="17">
        <v>0</v>
      </c>
      <c r="EZ24" s="17">
        <v>0</v>
      </c>
      <c r="FA24" s="17">
        <v>0</v>
      </c>
      <c r="FB24" s="17">
        <v>0</v>
      </c>
      <c r="FC24" s="17">
        <v>0</v>
      </c>
      <c r="FD24" s="17">
        <v>0</v>
      </c>
      <c r="FE24" s="17">
        <v>0</v>
      </c>
      <c r="FF24" s="17">
        <v>0</v>
      </c>
      <c r="FG24" s="17">
        <v>0</v>
      </c>
      <c r="FH24" s="17">
        <v>0</v>
      </c>
      <c r="FI24" s="17">
        <v>0</v>
      </c>
      <c r="FJ24" s="17">
        <v>0</v>
      </c>
      <c r="FK24" s="17">
        <v>0</v>
      </c>
      <c r="FL24" s="17">
        <v>0</v>
      </c>
      <c r="FM24" s="17">
        <v>0</v>
      </c>
      <c r="FN24" s="17">
        <v>0</v>
      </c>
      <c r="FO24" s="17">
        <v>0</v>
      </c>
      <c r="FP24" s="17">
        <v>0</v>
      </c>
      <c r="FQ24" s="17">
        <v>0</v>
      </c>
      <c r="FR24" s="17">
        <v>0</v>
      </c>
      <c r="FS24" s="17">
        <v>0</v>
      </c>
      <c r="FT24" s="17">
        <v>0</v>
      </c>
      <c r="FU24" s="17">
        <v>0</v>
      </c>
      <c r="FV24" s="17">
        <v>0</v>
      </c>
      <c r="FW24" s="17">
        <v>0</v>
      </c>
      <c r="FX24" s="17">
        <v>0</v>
      </c>
      <c r="FY24" s="17">
        <v>0</v>
      </c>
      <c r="FZ24" s="17">
        <v>0</v>
      </c>
      <c r="GA24" s="17">
        <v>0</v>
      </c>
      <c r="GB24" s="17">
        <v>0</v>
      </c>
      <c r="GC24" s="17">
        <v>1500</v>
      </c>
      <c r="GD24" s="17">
        <v>1500</v>
      </c>
      <c r="GE24" s="17">
        <v>1500</v>
      </c>
      <c r="GF24" s="17">
        <v>1500</v>
      </c>
      <c r="GG24" s="17">
        <v>1500</v>
      </c>
      <c r="GH24" s="17">
        <v>1500</v>
      </c>
      <c r="GI24" s="17">
        <v>1500</v>
      </c>
      <c r="GJ24" s="17">
        <v>1500</v>
      </c>
      <c r="GK24" s="17">
        <v>1500</v>
      </c>
      <c r="GL24" s="17">
        <v>1500</v>
      </c>
      <c r="GM24" s="17">
        <v>1500</v>
      </c>
      <c r="GN24" s="17">
        <v>1500</v>
      </c>
      <c r="GO24" s="17">
        <v>1500</v>
      </c>
      <c r="GP24" s="17">
        <v>1500</v>
      </c>
      <c r="GQ24" s="17">
        <v>1500</v>
      </c>
      <c r="GR24" s="17">
        <v>1500</v>
      </c>
      <c r="GS24" s="17">
        <v>1500</v>
      </c>
      <c r="GT24" s="17">
        <v>1500</v>
      </c>
      <c r="GU24" s="17">
        <v>1500</v>
      </c>
      <c r="GV24" s="17">
        <v>1500</v>
      </c>
      <c r="GW24" s="17">
        <v>1500</v>
      </c>
      <c r="GX24" s="17">
        <v>1500</v>
      </c>
      <c r="GY24" s="17">
        <v>1500</v>
      </c>
      <c r="GZ24" s="17">
        <v>1500</v>
      </c>
      <c r="HA24" s="17">
        <v>1500</v>
      </c>
      <c r="HB24" s="17">
        <v>1500</v>
      </c>
      <c r="HC24" s="17">
        <v>1500</v>
      </c>
      <c r="HD24" s="17">
        <v>1500</v>
      </c>
      <c r="HE24" s="17">
        <v>1500</v>
      </c>
      <c r="HF24" s="17">
        <v>1500</v>
      </c>
      <c r="HG24" s="17">
        <v>1500</v>
      </c>
      <c r="HH24" s="17">
        <v>1500</v>
      </c>
      <c r="HI24" s="17">
        <v>1500</v>
      </c>
      <c r="HJ24" s="17">
        <v>1500</v>
      </c>
      <c r="HK24" s="17">
        <v>1500</v>
      </c>
      <c r="HL24" s="17">
        <v>1500</v>
      </c>
      <c r="HM24" s="17">
        <v>1500</v>
      </c>
      <c r="HN24" s="17">
        <v>1500</v>
      </c>
      <c r="HO24" s="17">
        <v>1500</v>
      </c>
      <c r="HP24" s="17">
        <v>1500</v>
      </c>
      <c r="HQ24" s="17">
        <v>1500</v>
      </c>
      <c r="HR24" s="17">
        <v>1500</v>
      </c>
      <c r="HS24" s="17">
        <v>1500</v>
      </c>
      <c r="HT24" s="17">
        <v>1500</v>
      </c>
      <c r="HU24" s="17">
        <v>1500</v>
      </c>
      <c r="HV24" s="17">
        <v>1500</v>
      </c>
      <c r="HW24" s="17">
        <v>1500</v>
      </c>
      <c r="HX24" s="17">
        <v>1500</v>
      </c>
      <c r="HY24" s="17">
        <v>1500</v>
      </c>
      <c r="HZ24" s="17">
        <v>1500</v>
      </c>
      <c r="IA24" s="17">
        <v>1500</v>
      </c>
      <c r="IB24" s="17">
        <v>1500</v>
      </c>
      <c r="IC24" s="17">
        <v>1500</v>
      </c>
      <c r="ID24" s="17">
        <v>1500</v>
      </c>
      <c r="IE24" s="17">
        <v>1500</v>
      </c>
      <c r="IF24" s="17">
        <v>1500</v>
      </c>
      <c r="IG24" s="17">
        <v>1500</v>
      </c>
      <c r="IH24" s="17">
        <v>1500</v>
      </c>
      <c r="II24" s="17">
        <v>1500</v>
      </c>
      <c r="IJ24" s="17">
        <v>1500</v>
      </c>
      <c r="IK24" s="17">
        <v>1500</v>
      </c>
      <c r="IL24" s="17">
        <v>1500</v>
      </c>
      <c r="IM24" s="17">
        <v>1500</v>
      </c>
      <c r="IN24" s="17">
        <v>1500</v>
      </c>
      <c r="IO24" s="17">
        <v>1500</v>
      </c>
      <c r="IP24" s="17">
        <v>1500</v>
      </c>
      <c r="IQ24" s="17">
        <v>1500</v>
      </c>
      <c r="IR24" s="17">
        <v>1500</v>
      </c>
      <c r="IS24" s="17">
        <v>1500</v>
      </c>
      <c r="IT24" s="17">
        <v>1500</v>
      </c>
      <c r="IU24" s="17">
        <v>1500</v>
      </c>
      <c r="IV24" s="17">
        <v>1500</v>
      </c>
      <c r="IW24" s="17">
        <v>1500</v>
      </c>
      <c r="IX24" s="17">
        <v>1500</v>
      </c>
      <c r="IY24" s="17">
        <v>1500</v>
      </c>
      <c r="IZ24" s="17">
        <v>1500</v>
      </c>
      <c r="JA24" s="17">
        <v>1500</v>
      </c>
      <c r="JB24" s="17">
        <v>1500</v>
      </c>
      <c r="JC24" s="17">
        <v>1500</v>
      </c>
      <c r="JD24" s="17">
        <v>1500</v>
      </c>
      <c r="JE24" s="17">
        <v>1500</v>
      </c>
      <c r="JF24" s="17">
        <v>1500</v>
      </c>
      <c r="JG24" s="17">
        <v>1500</v>
      </c>
      <c r="JH24" s="17">
        <v>1500</v>
      </c>
      <c r="JI24" s="17">
        <v>1500</v>
      </c>
      <c r="JJ24" s="17">
        <v>1500</v>
      </c>
      <c r="JK24" s="17">
        <v>1500</v>
      </c>
      <c r="JL24" s="17">
        <v>1500</v>
      </c>
      <c r="JM24" s="17">
        <v>1500</v>
      </c>
      <c r="JN24" s="17">
        <v>1500</v>
      </c>
      <c r="JO24" s="17">
        <v>1500</v>
      </c>
      <c r="JP24" s="17">
        <v>1500</v>
      </c>
      <c r="JQ24" s="17">
        <v>1500</v>
      </c>
      <c r="JR24" s="17">
        <v>1500</v>
      </c>
      <c r="JS24" s="17">
        <v>1500</v>
      </c>
      <c r="JT24" s="17">
        <v>1500</v>
      </c>
      <c r="JU24" s="17">
        <v>1500</v>
      </c>
      <c r="JV24" s="17">
        <v>1500</v>
      </c>
      <c r="JW24" s="17">
        <v>1500</v>
      </c>
      <c r="JX24" s="17">
        <v>1500</v>
      </c>
      <c r="JY24" s="17">
        <v>1500</v>
      </c>
      <c r="JZ24" s="17">
        <v>1500</v>
      </c>
      <c r="KA24" s="17">
        <v>1500</v>
      </c>
      <c r="KB24" s="17">
        <v>1500</v>
      </c>
      <c r="KC24" s="17">
        <v>1500</v>
      </c>
      <c r="KD24" s="17">
        <v>1500</v>
      </c>
      <c r="KE24" s="17">
        <v>1500</v>
      </c>
      <c r="KF24" s="17">
        <v>1500</v>
      </c>
      <c r="KG24" s="17">
        <v>1500</v>
      </c>
      <c r="KH24" s="17">
        <v>1500</v>
      </c>
      <c r="KI24" s="17">
        <v>1500</v>
      </c>
      <c r="KJ24" s="17">
        <v>1500</v>
      </c>
      <c r="KK24" s="17">
        <v>1500</v>
      </c>
      <c r="KL24" s="17">
        <v>1500</v>
      </c>
      <c r="KM24" s="17">
        <v>1500</v>
      </c>
      <c r="KN24" s="17">
        <v>1500</v>
      </c>
      <c r="KO24" s="17">
        <v>1500</v>
      </c>
      <c r="KP24" s="17">
        <v>1500</v>
      </c>
      <c r="KQ24" s="17">
        <v>1500</v>
      </c>
      <c r="KR24" s="17">
        <v>1500</v>
      </c>
      <c r="KS24" s="17">
        <v>1500</v>
      </c>
      <c r="KT24" s="17">
        <v>1500</v>
      </c>
      <c r="KU24" s="17">
        <v>1500</v>
      </c>
      <c r="KV24" s="17">
        <v>1500</v>
      </c>
      <c r="KW24" s="17">
        <v>1500</v>
      </c>
      <c r="KX24" s="17">
        <v>1500</v>
      </c>
      <c r="KY24" s="17">
        <v>1500</v>
      </c>
      <c r="KZ24" s="17">
        <v>1500</v>
      </c>
      <c r="LA24" s="17">
        <v>1500</v>
      </c>
      <c r="LB24" s="17">
        <v>1500</v>
      </c>
      <c r="LC24" s="17">
        <v>1500</v>
      </c>
      <c r="LD24" s="17">
        <v>1500</v>
      </c>
      <c r="LE24" s="17">
        <v>1500</v>
      </c>
      <c r="LF24" s="17">
        <v>1500</v>
      </c>
      <c r="LG24" s="17">
        <v>1500</v>
      </c>
      <c r="LH24" s="17">
        <v>1500</v>
      </c>
      <c r="LI24" s="17">
        <v>1500</v>
      </c>
      <c r="LJ24" s="17">
        <v>1500</v>
      </c>
      <c r="LK24" s="17">
        <v>1500</v>
      </c>
      <c r="LL24" s="17">
        <v>1500</v>
      </c>
      <c r="LM24" s="17">
        <v>1500</v>
      </c>
      <c r="LN24" s="17">
        <v>1500</v>
      </c>
      <c r="LO24" s="17">
        <v>1500</v>
      </c>
      <c r="LP24" s="17">
        <v>1500</v>
      </c>
      <c r="LQ24" s="17">
        <v>1500</v>
      </c>
      <c r="LR24" s="17">
        <v>1500</v>
      </c>
      <c r="LS24" s="17">
        <v>1500</v>
      </c>
      <c r="LT24" s="17">
        <v>1500</v>
      </c>
      <c r="LU24" s="17">
        <v>1500</v>
      </c>
      <c r="LV24" s="17">
        <v>1500</v>
      </c>
      <c r="LW24" s="17">
        <v>1500</v>
      </c>
      <c r="LX24" s="17">
        <v>1500</v>
      </c>
      <c r="LY24" s="17">
        <v>1500</v>
      </c>
      <c r="LZ24" s="17">
        <v>1500</v>
      </c>
      <c r="MA24" s="17">
        <v>1500</v>
      </c>
      <c r="MB24" s="17">
        <v>1500</v>
      </c>
      <c r="MC24" s="17">
        <v>1500</v>
      </c>
      <c r="MD24" s="17">
        <v>1500</v>
      </c>
      <c r="ME24" s="17">
        <v>1500</v>
      </c>
      <c r="MF24" s="17">
        <v>1500</v>
      </c>
      <c r="MG24" s="17">
        <v>1500</v>
      </c>
      <c r="MH24" s="17">
        <v>1500</v>
      </c>
      <c r="MI24" s="17">
        <v>1500</v>
      </c>
      <c r="MJ24" s="17">
        <v>1500</v>
      </c>
      <c r="MK24" s="17">
        <v>1500</v>
      </c>
      <c r="ML24" s="17">
        <v>1500</v>
      </c>
      <c r="MM24" s="17">
        <v>1500</v>
      </c>
      <c r="MN24" s="17">
        <v>1500</v>
      </c>
      <c r="MO24" s="17">
        <v>1500</v>
      </c>
      <c r="MP24" s="17">
        <v>1500</v>
      </c>
      <c r="MQ24" s="17">
        <v>1500</v>
      </c>
      <c r="MR24" s="17">
        <v>1500</v>
      </c>
      <c r="MS24" s="17">
        <v>1500</v>
      </c>
      <c r="MT24" s="17">
        <v>1500</v>
      </c>
      <c r="MU24" s="17">
        <v>1500</v>
      </c>
      <c r="MV24" s="17">
        <v>1500</v>
      </c>
      <c r="MW24" s="17">
        <v>1500</v>
      </c>
      <c r="MX24" s="17">
        <v>1500</v>
      </c>
      <c r="MY24" s="17">
        <v>1500</v>
      </c>
      <c r="MZ24" s="17">
        <v>1500</v>
      </c>
      <c r="NA24" s="17">
        <v>1500</v>
      </c>
      <c r="NB24" s="17">
        <v>1500</v>
      </c>
      <c r="NC24" s="17">
        <v>1500</v>
      </c>
      <c r="ND24" s="17">
        <v>1500</v>
      </c>
      <c r="NE24" s="17">
        <v>1500</v>
      </c>
      <c r="NF24" s="17">
        <v>1500</v>
      </c>
      <c r="NG24" s="17">
        <v>1500</v>
      </c>
      <c r="NH24" s="17">
        <v>1500</v>
      </c>
      <c r="NI24" s="17">
        <v>1500</v>
      </c>
      <c r="NJ24" s="17">
        <v>1500</v>
      </c>
      <c r="NK24" s="17">
        <v>1500</v>
      </c>
      <c r="NL24" s="17">
        <v>1500</v>
      </c>
      <c r="NM24" s="17">
        <v>1500</v>
      </c>
      <c r="NN24" s="17">
        <v>1500</v>
      </c>
      <c r="NO24" s="17">
        <v>1500</v>
      </c>
      <c r="NP24" s="17">
        <v>1500</v>
      </c>
      <c r="NQ24" s="17">
        <v>1500</v>
      </c>
      <c r="NR24" s="17">
        <v>1500</v>
      </c>
      <c r="NS24" s="17">
        <v>1500</v>
      </c>
      <c r="NT24" s="17">
        <v>1500</v>
      </c>
      <c r="NU24" s="17">
        <v>1500</v>
      </c>
      <c r="NV24" s="17">
        <v>1500</v>
      </c>
      <c r="NW24" s="17">
        <v>1500</v>
      </c>
      <c r="NX24" s="17">
        <v>1500</v>
      </c>
      <c r="NY24" s="17">
        <v>1500</v>
      </c>
      <c r="NZ24" s="17">
        <v>1500</v>
      </c>
      <c r="OA24" s="17">
        <v>1500</v>
      </c>
      <c r="OB24" s="17">
        <v>1500</v>
      </c>
      <c r="OC24" s="17">
        <v>1500</v>
      </c>
      <c r="OD24" s="17">
        <v>1500</v>
      </c>
      <c r="OE24" s="17">
        <v>1500</v>
      </c>
      <c r="OF24" s="17">
        <v>1500</v>
      </c>
      <c r="OG24" s="17">
        <v>1500</v>
      </c>
      <c r="OH24" s="17">
        <v>1500</v>
      </c>
      <c r="OI24" s="17">
        <v>1500</v>
      </c>
      <c r="OJ24" s="17">
        <v>1504</v>
      </c>
      <c r="OK24" s="17">
        <v>1504</v>
      </c>
      <c r="OL24" s="17">
        <v>1504</v>
      </c>
      <c r="OM24" s="17">
        <v>1504</v>
      </c>
      <c r="ON24" s="17">
        <v>1504</v>
      </c>
      <c r="OO24" s="17">
        <v>1504</v>
      </c>
      <c r="OP24" s="17">
        <v>1504</v>
      </c>
      <c r="OQ24" s="17">
        <v>1509</v>
      </c>
      <c r="OR24" s="17">
        <v>1509</v>
      </c>
      <c r="OS24" s="17">
        <v>1509</v>
      </c>
      <c r="OT24" s="17">
        <v>1509</v>
      </c>
      <c r="OU24" s="17">
        <v>1509</v>
      </c>
      <c r="OV24" s="17">
        <v>1509</v>
      </c>
      <c r="OW24" s="17">
        <v>1509</v>
      </c>
      <c r="OX24" s="17">
        <v>1514</v>
      </c>
      <c r="OY24" s="17">
        <v>1514</v>
      </c>
      <c r="OZ24" s="17">
        <v>1514</v>
      </c>
      <c r="PA24" s="17">
        <v>1514</v>
      </c>
      <c r="PB24" s="17">
        <v>1514</v>
      </c>
      <c r="PC24" s="17">
        <v>1514</v>
      </c>
      <c r="PD24" s="17">
        <v>1514</v>
      </c>
      <c r="PE24" s="17">
        <v>1519</v>
      </c>
      <c r="PF24" s="17">
        <v>1519</v>
      </c>
      <c r="PG24" s="17">
        <v>1519</v>
      </c>
      <c r="PH24" s="17">
        <v>1519</v>
      </c>
      <c r="PI24" s="17">
        <v>1519</v>
      </c>
      <c r="PJ24" s="17">
        <v>1519</v>
      </c>
      <c r="PK24" s="17">
        <v>1519</v>
      </c>
      <c r="PL24" s="17">
        <v>1519</v>
      </c>
    </row>
    <row r="25" spans="1:428" s="12" customFormat="1" outlineLevel="1">
      <c r="A25" s="20" t="s">
        <v>19</v>
      </c>
      <c r="B25" s="12" t="s">
        <v>21</v>
      </c>
      <c r="C25" s="12" t="str">
        <f t="shared" si="21"/>
        <v>LensCateyeBLACK</v>
      </c>
      <c r="D25" s="12" t="s">
        <v>33</v>
      </c>
      <c r="E25" s="16" t="s">
        <v>14</v>
      </c>
      <c r="F25" s="13" t="s">
        <v>29</v>
      </c>
      <c r="G25" s="13" t="s">
        <v>1</v>
      </c>
      <c r="H25" s="14">
        <v>318003500484</v>
      </c>
      <c r="I25" s="13"/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  <c r="DZ25" s="17">
        <v>0</v>
      </c>
      <c r="EA25" s="17">
        <v>0</v>
      </c>
      <c r="EB25" s="17">
        <v>0</v>
      </c>
      <c r="EC25" s="17">
        <v>0</v>
      </c>
      <c r="ED25" s="17">
        <v>0</v>
      </c>
      <c r="EE25" s="17">
        <v>0</v>
      </c>
      <c r="EF25" s="17">
        <v>0</v>
      </c>
      <c r="EG25" s="17">
        <v>0</v>
      </c>
      <c r="EH25" s="17">
        <v>0</v>
      </c>
      <c r="EI25" s="17">
        <v>0</v>
      </c>
      <c r="EJ25" s="17">
        <v>0</v>
      </c>
      <c r="EK25" s="17">
        <v>0</v>
      </c>
      <c r="EL25" s="17">
        <v>0</v>
      </c>
      <c r="EM25" s="17">
        <v>0</v>
      </c>
      <c r="EN25" s="17">
        <v>0</v>
      </c>
      <c r="EO25" s="17">
        <v>0</v>
      </c>
      <c r="EP25" s="17">
        <v>0</v>
      </c>
      <c r="EQ25" s="17">
        <v>0</v>
      </c>
      <c r="ER25" s="17">
        <v>0</v>
      </c>
      <c r="ES25" s="17">
        <v>0</v>
      </c>
      <c r="ET25" s="17">
        <v>0</v>
      </c>
      <c r="EU25" s="17">
        <v>0</v>
      </c>
      <c r="EV25" s="17">
        <v>0</v>
      </c>
      <c r="EW25" s="17">
        <v>0</v>
      </c>
      <c r="EX25" s="17">
        <v>0</v>
      </c>
      <c r="EY25" s="17">
        <v>0</v>
      </c>
      <c r="EZ25" s="17">
        <v>0</v>
      </c>
      <c r="FA25" s="17">
        <v>0</v>
      </c>
      <c r="FB25" s="17">
        <v>0</v>
      </c>
      <c r="FC25" s="17">
        <v>0</v>
      </c>
      <c r="FD25" s="17">
        <v>0</v>
      </c>
      <c r="FE25" s="17">
        <v>0</v>
      </c>
      <c r="FF25" s="17">
        <v>0</v>
      </c>
      <c r="FG25" s="17">
        <v>0</v>
      </c>
      <c r="FH25" s="17">
        <v>0</v>
      </c>
      <c r="FI25" s="17">
        <v>0</v>
      </c>
      <c r="FJ25" s="17">
        <v>0</v>
      </c>
      <c r="FK25" s="17">
        <v>0</v>
      </c>
      <c r="FL25" s="17">
        <v>0</v>
      </c>
      <c r="FM25" s="17">
        <v>0</v>
      </c>
      <c r="FN25" s="17">
        <v>1357</v>
      </c>
      <c r="FO25" s="17">
        <v>2956</v>
      </c>
      <c r="FP25" s="17">
        <v>4555</v>
      </c>
      <c r="FQ25" s="17">
        <v>6555</v>
      </c>
      <c r="FR25" s="17">
        <v>8394</v>
      </c>
      <c r="FS25" s="17">
        <v>8394</v>
      </c>
      <c r="FT25" s="17">
        <v>8394</v>
      </c>
      <c r="FU25" s="17">
        <v>8394</v>
      </c>
      <c r="FV25" s="17">
        <v>8394</v>
      </c>
      <c r="FW25" s="17">
        <v>8394</v>
      </c>
      <c r="FX25" s="17">
        <v>8394</v>
      </c>
      <c r="FY25" s="17">
        <v>8394</v>
      </c>
      <c r="FZ25" s="17">
        <v>8394</v>
      </c>
      <c r="GA25" s="17">
        <v>8394</v>
      </c>
      <c r="GB25" s="17">
        <v>8394</v>
      </c>
      <c r="GC25" s="17">
        <v>13088.457320000001</v>
      </c>
      <c r="GD25" s="17">
        <v>17782.914640000003</v>
      </c>
      <c r="GE25" s="17">
        <v>22627.195060000002</v>
      </c>
      <c r="GF25" s="17">
        <v>27471.475480000001</v>
      </c>
      <c r="GG25" s="17">
        <v>33930.516049999998</v>
      </c>
      <c r="GH25" s="17">
        <v>40389.556619999996</v>
      </c>
      <c r="GI25" s="17">
        <v>46848.597189999993</v>
      </c>
      <c r="GJ25" s="17">
        <v>53307.637759999991</v>
      </c>
      <c r="GK25" s="17">
        <v>59766.678329999988</v>
      </c>
      <c r="GL25" s="17">
        <v>66225.718899999993</v>
      </c>
      <c r="GM25" s="17">
        <v>69194</v>
      </c>
      <c r="GN25" s="17">
        <v>69194</v>
      </c>
      <c r="GO25" s="17">
        <v>75278</v>
      </c>
      <c r="GP25" s="17">
        <v>75278</v>
      </c>
      <c r="GQ25" s="17">
        <v>75278</v>
      </c>
      <c r="GR25" s="17">
        <v>75278</v>
      </c>
      <c r="GS25" s="17">
        <v>75278</v>
      </c>
      <c r="GT25" s="17">
        <v>75278</v>
      </c>
      <c r="GU25" s="17">
        <v>75278</v>
      </c>
      <c r="GV25" s="17">
        <v>81561</v>
      </c>
      <c r="GW25" s="17">
        <v>81561</v>
      </c>
      <c r="GX25" s="17">
        <v>81561</v>
      </c>
      <c r="GY25" s="17">
        <v>81561</v>
      </c>
      <c r="GZ25" s="17">
        <v>81561</v>
      </c>
      <c r="HA25" s="17">
        <v>81561</v>
      </c>
      <c r="HB25" s="17">
        <v>81561</v>
      </c>
      <c r="HC25" s="17">
        <v>95165</v>
      </c>
      <c r="HD25" s="17">
        <v>95165</v>
      </c>
      <c r="HE25" s="17">
        <v>95165</v>
      </c>
      <c r="HF25" s="17">
        <v>95165</v>
      </c>
      <c r="HG25" s="17">
        <v>95165</v>
      </c>
      <c r="HH25" s="17">
        <v>95165</v>
      </c>
      <c r="HI25" s="17">
        <v>95165</v>
      </c>
      <c r="HJ25" s="17">
        <v>109022</v>
      </c>
      <c r="HK25" s="17">
        <v>109022</v>
      </c>
      <c r="HL25" s="17">
        <v>109022</v>
      </c>
      <c r="HM25" s="17">
        <v>109022</v>
      </c>
      <c r="HN25" s="17">
        <v>109022</v>
      </c>
      <c r="HO25" s="17">
        <v>109022</v>
      </c>
      <c r="HP25" s="17">
        <v>109022</v>
      </c>
      <c r="HQ25" s="17">
        <v>124653</v>
      </c>
      <c r="HR25" s="17">
        <v>124653</v>
      </c>
      <c r="HS25" s="17">
        <v>124653</v>
      </c>
      <c r="HT25" s="17">
        <v>124653</v>
      </c>
      <c r="HU25" s="17">
        <v>124653</v>
      </c>
      <c r="HV25" s="17">
        <v>124653</v>
      </c>
      <c r="HW25" s="17">
        <v>124653</v>
      </c>
      <c r="HX25" s="17">
        <v>139538</v>
      </c>
      <c r="HY25" s="17">
        <v>139538</v>
      </c>
      <c r="HZ25" s="17">
        <v>139538</v>
      </c>
      <c r="IA25" s="17">
        <v>139538</v>
      </c>
      <c r="IB25" s="17">
        <v>139538</v>
      </c>
      <c r="IC25" s="17">
        <v>139538</v>
      </c>
      <c r="ID25" s="17">
        <v>139538</v>
      </c>
      <c r="IE25" s="17">
        <v>147438</v>
      </c>
      <c r="IF25" s="17">
        <v>147438</v>
      </c>
      <c r="IG25" s="17">
        <v>147438</v>
      </c>
      <c r="IH25" s="17">
        <v>147438</v>
      </c>
      <c r="II25" s="17">
        <v>147438</v>
      </c>
      <c r="IJ25" s="17">
        <v>147438</v>
      </c>
      <c r="IK25" s="17">
        <v>147438</v>
      </c>
      <c r="IL25" s="17">
        <v>155039.71889999998</v>
      </c>
      <c r="IM25" s="17">
        <v>155039.71889999998</v>
      </c>
      <c r="IN25" s="17">
        <v>155040</v>
      </c>
      <c r="IO25" s="17">
        <v>155040</v>
      </c>
      <c r="IP25" s="17">
        <v>155040</v>
      </c>
      <c r="IQ25" s="17">
        <v>155040</v>
      </c>
      <c r="IR25" s="17">
        <v>155040</v>
      </c>
      <c r="IS25" s="17">
        <v>162197</v>
      </c>
      <c r="IT25" s="17">
        <v>162197</v>
      </c>
      <c r="IU25" s="17">
        <v>162197</v>
      </c>
      <c r="IV25" s="17">
        <v>162197</v>
      </c>
      <c r="IW25" s="17">
        <v>162197</v>
      </c>
      <c r="IX25" s="17">
        <v>162197</v>
      </c>
      <c r="IY25" s="17">
        <v>162197</v>
      </c>
      <c r="IZ25" s="17">
        <v>165882</v>
      </c>
      <c r="JA25" s="17">
        <v>165882</v>
      </c>
      <c r="JB25" s="17">
        <v>165882</v>
      </c>
      <c r="JC25" s="17">
        <v>165882</v>
      </c>
      <c r="JD25" s="17">
        <v>165882</v>
      </c>
      <c r="JE25" s="17">
        <v>165882</v>
      </c>
      <c r="JF25" s="17">
        <v>165882</v>
      </c>
      <c r="JG25" s="17">
        <v>169542</v>
      </c>
      <c r="JH25" s="17">
        <v>169542</v>
      </c>
      <c r="JI25" s="17">
        <v>169542</v>
      </c>
      <c r="JJ25" s="17">
        <v>169542</v>
      </c>
      <c r="JK25" s="17">
        <v>169542</v>
      </c>
      <c r="JL25" s="17">
        <v>169542</v>
      </c>
      <c r="JM25" s="17">
        <v>169542</v>
      </c>
      <c r="JN25" s="17">
        <v>173313</v>
      </c>
      <c r="JO25" s="17">
        <v>173313</v>
      </c>
      <c r="JP25" s="17">
        <v>173313</v>
      </c>
      <c r="JQ25" s="17">
        <v>173313</v>
      </c>
      <c r="JR25" s="17">
        <v>173313</v>
      </c>
      <c r="JS25" s="17">
        <v>173313</v>
      </c>
      <c r="JT25" s="17">
        <v>173313</v>
      </c>
      <c r="JU25" s="17">
        <v>174825</v>
      </c>
      <c r="JV25" s="17">
        <v>174825</v>
      </c>
      <c r="JW25" s="17">
        <v>174825</v>
      </c>
      <c r="JX25" s="17">
        <v>174825</v>
      </c>
      <c r="JY25" s="17">
        <v>174825</v>
      </c>
      <c r="JZ25" s="17">
        <v>174825</v>
      </c>
      <c r="KA25" s="17">
        <v>174825</v>
      </c>
      <c r="KB25" s="17">
        <v>176366</v>
      </c>
      <c r="KC25" s="17">
        <v>176366</v>
      </c>
      <c r="KD25" s="17">
        <v>176366</v>
      </c>
      <c r="KE25" s="17">
        <v>176366</v>
      </c>
      <c r="KF25" s="17">
        <v>176366</v>
      </c>
      <c r="KG25" s="17">
        <v>176366</v>
      </c>
      <c r="KH25" s="17">
        <v>176366</v>
      </c>
      <c r="KI25" s="17">
        <v>177964</v>
      </c>
      <c r="KJ25" s="17">
        <v>177964</v>
      </c>
      <c r="KK25" s="17">
        <v>177964</v>
      </c>
      <c r="KL25" s="17">
        <v>177964</v>
      </c>
      <c r="KM25" s="17">
        <v>177964</v>
      </c>
      <c r="KN25" s="17">
        <v>177964</v>
      </c>
      <c r="KO25" s="17">
        <v>177964</v>
      </c>
      <c r="KP25" s="17">
        <v>179563</v>
      </c>
      <c r="KQ25" s="17">
        <v>179563</v>
      </c>
      <c r="KR25" s="17">
        <v>179563</v>
      </c>
      <c r="KS25" s="17">
        <v>179563</v>
      </c>
      <c r="KT25" s="17">
        <v>179563</v>
      </c>
      <c r="KU25" s="17">
        <v>179563</v>
      </c>
      <c r="KV25" s="17">
        <v>179563</v>
      </c>
      <c r="KW25" s="17">
        <v>181151.71889999998</v>
      </c>
      <c r="KX25" s="17">
        <v>181151.71889999998</v>
      </c>
      <c r="KY25" s="17">
        <v>181152</v>
      </c>
      <c r="KZ25" s="17">
        <v>181152</v>
      </c>
      <c r="LA25" s="17">
        <v>181152</v>
      </c>
      <c r="LB25" s="17">
        <v>181152</v>
      </c>
      <c r="LC25" s="17">
        <v>181152</v>
      </c>
      <c r="LD25" s="17">
        <v>182723</v>
      </c>
      <c r="LE25" s="17">
        <v>182723</v>
      </c>
      <c r="LF25" s="17">
        <v>182723</v>
      </c>
      <c r="LG25" s="17">
        <v>182723</v>
      </c>
      <c r="LH25" s="17">
        <v>182723</v>
      </c>
      <c r="LI25" s="17">
        <v>182723</v>
      </c>
      <c r="LJ25" s="17">
        <v>182723</v>
      </c>
      <c r="LK25" s="17">
        <v>184294</v>
      </c>
      <c r="LL25" s="17">
        <v>184294</v>
      </c>
      <c r="LM25" s="17">
        <v>184294</v>
      </c>
      <c r="LN25" s="17">
        <v>184294</v>
      </c>
      <c r="LO25" s="17">
        <v>184294</v>
      </c>
      <c r="LP25" s="17">
        <v>184294</v>
      </c>
      <c r="LQ25" s="17">
        <v>184294</v>
      </c>
      <c r="LR25" s="17">
        <v>185634</v>
      </c>
      <c r="LS25" s="17">
        <v>185634</v>
      </c>
      <c r="LT25" s="17">
        <v>185634</v>
      </c>
      <c r="LU25" s="17">
        <v>185634</v>
      </c>
      <c r="LV25" s="17">
        <v>185634</v>
      </c>
      <c r="LW25" s="17">
        <v>185634</v>
      </c>
      <c r="LX25" s="17">
        <v>185634</v>
      </c>
      <c r="LY25" s="17">
        <v>186974</v>
      </c>
      <c r="LZ25" s="17">
        <v>186974</v>
      </c>
      <c r="MA25" s="17">
        <v>186974</v>
      </c>
      <c r="MB25" s="17">
        <v>186974</v>
      </c>
      <c r="MC25" s="17">
        <v>186974</v>
      </c>
      <c r="MD25" s="17">
        <v>186974</v>
      </c>
      <c r="ME25" s="17">
        <v>186974</v>
      </c>
      <c r="MF25" s="17">
        <v>187644</v>
      </c>
      <c r="MG25" s="17">
        <v>187644</v>
      </c>
      <c r="MH25" s="17">
        <v>187644</v>
      </c>
      <c r="MI25" s="17">
        <v>187644</v>
      </c>
      <c r="MJ25" s="17">
        <v>187644</v>
      </c>
      <c r="MK25" s="17">
        <v>187644</v>
      </c>
      <c r="ML25" s="17">
        <v>187644</v>
      </c>
      <c r="MM25" s="17">
        <v>188314</v>
      </c>
      <c r="MN25" s="17">
        <v>188314</v>
      </c>
      <c r="MO25" s="17">
        <v>188314</v>
      </c>
      <c r="MP25" s="17">
        <v>188314</v>
      </c>
      <c r="MQ25" s="17">
        <v>188314</v>
      </c>
      <c r="MR25" s="17">
        <v>188314</v>
      </c>
      <c r="MS25" s="17">
        <v>188314</v>
      </c>
      <c r="MT25" s="17">
        <v>188984</v>
      </c>
      <c r="MU25" s="17">
        <v>188984</v>
      </c>
      <c r="MV25" s="17">
        <v>188984</v>
      </c>
      <c r="MW25" s="17">
        <v>188984</v>
      </c>
      <c r="MX25" s="17">
        <v>188984</v>
      </c>
      <c r="MY25" s="17">
        <v>188984</v>
      </c>
      <c r="MZ25" s="17">
        <v>188984</v>
      </c>
      <c r="NA25" s="17">
        <v>190324</v>
      </c>
      <c r="NB25" s="17">
        <v>190324</v>
      </c>
      <c r="NC25" s="17">
        <v>190324</v>
      </c>
      <c r="ND25" s="17">
        <v>190324</v>
      </c>
      <c r="NE25" s="17">
        <v>190324</v>
      </c>
      <c r="NF25" s="17">
        <v>190324</v>
      </c>
      <c r="NG25" s="17">
        <v>190324</v>
      </c>
      <c r="NH25" s="17">
        <v>191664</v>
      </c>
      <c r="NI25" s="17">
        <v>191664</v>
      </c>
      <c r="NJ25" s="17">
        <v>191664</v>
      </c>
      <c r="NK25" s="17">
        <v>191664</v>
      </c>
      <c r="NL25" s="17">
        <v>191664</v>
      </c>
      <c r="NM25" s="17">
        <v>191664</v>
      </c>
      <c r="NN25" s="17">
        <v>191664</v>
      </c>
      <c r="NO25" s="17">
        <v>193004</v>
      </c>
      <c r="NP25" s="17">
        <v>193004</v>
      </c>
      <c r="NQ25" s="17">
        <v>193004</v>
      </c>
      <c r="NR25" s="17">
        <v>193004</v>
      </c>
      <c r="NS25" s="17">
        <v>193004</v>
      </c>
      <c r="NT25" s="17">
        <v>193004</v>
      </c>
      <c r="NU25" s="17">
        <v>193004</v>
      </c>
      <c r="NV25" s="17">
        <v>194344</v>
      </c>
      <c r="NW25" s="17">
        <v>194344</v>
      </c>
      <c r="NX25" s="17">
        <v>194344</v>
      </c>
      <c r="NY25" s="17">
        <v>194344</v>
      </c>
      <c r="NZ25" s="17">
        <v>194344</v>
      </c>
      <c r="OA25" s="17">
        <v>194344</v>
      </c>
      <c r="OB25" s="17">
        <v>194344</v>
      </c>
      <c r="OC25" s="17">
        <v>197694</v>
      </c>
      <c r="OD25" s="17">
        <v>197694</v>
      </c>
      <c r="OE25" s="17">
        <v>197694</v>
      </c>
      <c r="OF25" s="17">
        <v>197694</v>
      </c>
      <c r="OG25" s="17">
        <v>197694</v>
      </c>
      <c r="OH25" s="17">
        <v>197694</v>
      </c>
      <c r="OI25" s="17">
        <v>197694</v>
      </c>
      <c r="OJ25" s="17">
        <v>201044</v>
      </c>
      <c r="OK25" s="17">
        <v>201044</v>
      </c>
      <c r="OL25" s="17">
        <v>201044</v>
      </c>
      <c r="OM25" s="17">
        <v>201044</v>
      </c>
      <c r="ON25" s="17">
        <v>201044</v>
      </c>
      <c r="OO25" s="17">
        <v>201044</v>
      </c>
      <c r="OP25" s="17">
        <v>201044</v>
      </c>
      <c r="OQ25" s="17">
        <v>204394</v>
      </c>
      <c r="OR25" s="17">
        <v>204394</v>
      </c>
      <c r="OS25" s="17">
        <v>204394</v>
      </c>
      <c r="OT25" s="17">
        <v>204394</v>
      </c>
      <c r="OU25" s="17">
        <v>204394</v>
      </c>
      <c r="OV25" s="17">
        <v>204394</v>
      </c>
      <c r="OW25" s="17">
        <v>204394</v>
      </c>
      <c r="OX25" s="17">
        <v>205734</v>
      </c>
      <c r="OY25" s="17">
        <v>205734</v>
      </c>
      <c r="OZ25" s="17">
        <v>205734</v>
      </c>
      <c r="PA25" s="17">
        <v>205734</v>
      </c>
      <c r="PB25" s="17">
        <v>205734</v>
      </c>
      <c r="PC25" s="17">
        <v>205734</v>
      </c>
      <c r="PD25" s="17">
        <v>205734</v>
      </c>
      <c r="PE25" s="17">
        <v>205734</v>
      </c>
      <c r="PF25" s="17">
        <v>205734</v>
      </c>
      <c r="PG25" s="17">
        <v>205734</v>
      </c>
      <c r="PH25" s="17">
        <v>205734</v>
      </c>
      <c r="PI25" s="17">
        <v>205734</v>
      </c>
      <c r="PJ25" s="17">
        <v>205734</v>
      </c>
      <c r="PK25" s="17">
        <v>205734</v>
      </c>
      <c r="PL25" s="17">
        <v>205734</v>
      </c>
    </row>
    <row r="26" spans="1:428" s="12" customFormat="1" outlineLevel="1">
      <c r="A26" s="20" t="s">
        <v>19</v>
      </c>
      <c r="B26" s="12" t="s">
        <v>21</v>
      </c>
      <c r="C26" s="12" t="str">
        <f t="shared" si="21"/>
        <v>LensCateyeDARK HAVANA</v>
      </c>
      <c r="D26" s="12" t="s">
        <v>33</v>
      </c>
      <c r="E26" s="16" t="s">
        <v>14</v>
      </c>
      <c r="F26" s="13" t="s">
        <v>29</v>
      </c>
      <c r="G26" s="13" t="s">
        <v>11</v>
      </c>
      <c r="H26" s="14">
        <v>318003500482</v>
      </c>
      <c r="I26" s="13"/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0</v>
      </c>
      <c r="DW26" s="17">
        <v>0</v>
      </c>
      <c r="DX26" s="17">
        <v>0</v>
      </c>
      <c r="DY26" s="17">
        <v>0</v>
      </c>
      <c r="DZ26" s="17">
        <v>0</v>
      </c>
      <c r="EA26" s="17">
        <v>0</v>
      </c>
      <c r="EB26" s="17">
        <v>0</v>
      </c>
      <c r="EC26" s="17">
        <v>0</v>
      </c>
      <c r="ED26" s="17">
        <v>0</v>
      </c>
      <c r="EE26" s="17">
        <v>0</v>
      </c>
      <c r="EF26" s="17">
        <v>0</v>
      </c>
      <c r="EG26" s="17">
        <v>0</v>
      </c>
      <c r="EH26" s="17">
        <v>0</v>
      </c>
      <c r="EI26" s="17">
        <v>0</v>
      </c>
      <c r="EJ26" s="17">
        <v>0</v>
      </c>
      <c r="EK26" s="17">
        <v>0</v>
      </c>
      <c r="EL26" s="17">
        <v>0</v>
      </c>
      <c r="EM26" s="17">
        <v>0</v>
      </c>
      <c r="EN26" s="17">
        <v>0</v>
      </c>
      <c r="EO26" s="17">
        <v>0</v>
      </c>
      <c r="EP26" s="17">
        <v>0</v>
      </c>
      <c r="EQ26" s="17">
        <v>0</v>
      </c>
      <c r="ER26" s="17">
        <v>0</v>
      </c>
      <c r="ES26" s="17">
        <v>0</v>
      </c>
      <c r="ET26" s="17">
        <v>0</v>
      </c>
      <c r="EU26" s="17">
        <v>0</v>
      </c>
      <c r="EV26" s="17">
        <v>0</v>
      </c>
      <c r="EW26" s="17">
        <v>0</v>
      </c>
      <c r="EX26" s="17">
        <v>0</v>
      </c>
      <c r="EY26" s="17">
        <v>0</v>
      </c>
      <c r="EZ26" s="17">
        <v>0</v>
      </c>
      <c r="FA26" s="17">
        <v>0</v>
      </c>
      <c r="FB26" s="17">
        <v>0</v>
      </c>
      <c r="FC26" s="17">
        <v>0</v>
      </c>
      <c r="FD26" s="17">
        <v>0</v>
      </c>
      <c r="FE26" s="17">
        <v>0</v>
      </c>
      <c r="FF26" s="17">
        <v>0</v>
      </c>
      <c r="FG26" s="17">
        <v>0</v>
      </c>
      <c r="FH26" s="17">
        <v>0</v>
      </c>
      <c r="FI26" s="17">
        <v>0</v>
      </c>
      <c r="FJ26" s="17">
        <v>0</v>
      </c>
      <c r="FK26" s="17">
        <v>0</v>
      </c>
      <c r="FL26" s="17">
        <v>0</v>
      </c>
      <c r="FM26" s="17">
        <v>100</v>
      </c>
      <c r="FN26" s="17">
        <v>100</v>
      </c>
      <c r="FO26" s="17">
        <v>100</v>
      </c>
      <c r="FP26" s="17">
        <v>100</v>
      </c>
      <c r="FQ26" s="17">
        <v>100</v>
      </c>
      <c r="FR26" s="17">
        <v>100</v>
      </c>
      <c r="FS26" s="17">
        <v>866</v>
      </c>
      <c r="FT26" s="17">
        <v>866</v>
      </c>
      <c r="FU26" s="17">
        <v>1533</v>
      </c>
      <c r="FV26" s="17">
        <v>2046.4339500000001</v>
      </c>
      <c r="FW26" s="17">
        <v>2559.8679000000002</v>
      </c>
      <c r="FX26" s="17">
        <v>3073.3018500000003</v>
      </c>
      <c r="FY26" s="17">
        <v>3586.7358000000004</v>
      </c>
      <c r="FZ26" s="17">
        <v>3586.7358000000004</v>
      </c>
      <c r="GA26" s="17">
        <v>4168.2998299999999</v>
      </c>
      <c r="GB26" s="17">
        <v>4749.8638599999995</v>
      </c>
      <c r="GC26" s="17">
        <v>5331.427889999999</v>
      </c>
      <c r="GD26" s="17">
        <v>5912.9919199999986</v>
      </c>
      <c r="GE26" s="17">
        <v>6526.8650699999989</v>
      </c>
      <c r="GF26" s="17">
        <v>7166.3190699999986</v>
      </c>
      <c r="GG26" s="17">
        <v>7166.3190699999986</v>
      </c>
      <c r="GH26" s="17">
        <v>7841.2982899999988</v>
      </c>
      <c r="GI26" s="17">
        <v>8516.2775099999981</v>
      </c>
      <c r="GJ26" s="17">
        <v>9191.2567299999973</v>
      </c>
      <c r="GK26" s="17">
        <v>9866.2359499999966</v>
      </c>
      <c r="GL26" s="17">
        <v>10541.215169999996</v>
      </c>
      <c r="GM26" s="17">
        <v>11216.194389999995</v>
      </c>
      <c r="GN26" s="17">
        <v>11877</v>
      </c>
      <c r="GO26" s="17">
        <v>12566.152829999994</v>
      </c>
      <c r="GP26" s="17">
        <v>12973</v>
      </c>
      <c r="GQ26" s="17">
        <v>12973</v>
      </c>
      <c r="GR26" s="17">
        <v>12973</v>
      </c>
      <c r="GS26" s="17">
        <v>12973</v>
      </c>
      <c r="GT26" s="17">
        <v>12973</v>
      </c>
      <c r="GU26" s="17">
        <v>12973</v>
      </c>
      <c r="GV26" s="17">
        <v>13931</v>
      </c>
      <c r="GW26" s="17">
        <v>13931</v>
      </c>
      <c r="GX26" s="17">
        <v>13931</v>
      </c>
      <c r="GY26" s="17">
        <v>13931</v>
      </c>
      <c r="GZ26" s="17">
        <v>13931</v>
      </c>
      <c r="HA26" s="17">
        <v>13931</v>
      </c>
      <c r="HB26" s="17">
        <v>13931</v>
      </c>
      <c r="HC26" s="17">
        <v>15551</v>
      </c>
      <c r="HD26" s="17">
        <v>15551</v>
      </c>
      <c r="HE26" s="17">
        <v>15551</v>
      </c>
      <c r="HF26" s="17">
        <v>15551</v>
      </c>
      <c r="HG26" s="17">
        <v>15551</v>
      </c>
      <c r="HH26" s="17">
        <v>15551</v>
      </c>
      <c r="HI26" s="17">
        <v>15551</v>
      </c>
      <c r="HJ26" s="17">
        <v>17427</v>
      </c>
      <c r="HK26" s="17">
        <v>17427</v>
      </c>
      <c r="HL26" s="17">
        <v>17427</v>
      </c>
      <c r="HM26" s="17">
        <v>17427</v>
      </c>
      <c r="HN26" s="17">
        <v>17427</v>
      </c>
      <c r="HO26" s="17">
        <v>17427</v>
      </c>
      <c r="HP26" s="17">
        <v>17427</v>
      </c>
      <c r="HQ26" s="17">
        <v>19744</v>
      </c>
      <c r="HR26" s="17">
        <v>19744</v>
      </c>
      <c r="HS26" s="17">
        <v>19744</v>
      </c>
      <c r="HT26" s="17">
        <v>19744</v>
      </c>
      <c r="HU26" s="17">
        <v>19744</v>
      </c>
      <c r="HV26" s="17">
        <v>19744</v>
      </c>
      <c r="HW26" s="17">
        <v>19744</v>
      </c>
      <c r="HX26" s="17">
        <v>22455</v>
      </c>
      <c r="HY26" s="17">
        <v>22455</v>
      </c>
      <c r="HZ26" s="17">
        <v>22455</v>
      </c>
      <c r="IA26" s="17">
        <v>22455</v>
      </c>
      <c r="IB26" s="17">
        <v>22455</v>
      </c>
      <c r="IC26" s="17">
        <v>22455</v>
      </c>
      <c r="ID26" s="17">
        <v>22455</v>
      </c>
      <c r="IE26" s="17">
        <v>23566</v>
      </c>
      <c r="IF26" s="17">
        <v>23566</v>
      </c>
      <c r="IG26" s="17">
        <v>23566</v>
      </c>
      <c r="IH26" s="17">
        <v>23566</v>
      </c>
      <c r="II26" s="17">
        <v>23566</v>
      </c>
      <c r="IJ26" s="17">
        <v>23566</v>
      </c>
      <c r="IK26" s="17">
        <v>23566</v>
      </c>
      <c r="IL26" s="17">
        <v>25307</v>
      </c>
      <c r="IM26" s="17">
        <v>25307</v>
      </c>
      <c r="IN26" s="17">
        <v>25307</v>
      </c>
      <c r="IO26" s="17">
        <v>25307</v>
      </c>
      <c r="IP26" s="17">
        <v>25307</v>
      </c>
      <c r="IQ26" s="17">
        <v>25307</v>
      </c>
      <c r="IR26" s="17">
        <v>25307</v>
      </c>
      <c r="IS26" s="17">
        <v>26920</v>
      </c>
      <c r="IT26" s="17">
        <v>26920</v>
      </c>
      <c r="IU26" s="17">
        <v>26920</v>
      </c>
      <c r="IV26" s="17">
        <v>26920</v>
      </c>
      <c r="IW26" s="17">
        <v>26920</v>
      </c>
      <c r="IX26" s="17">
        <v>26920</v>
      </c>
      <c r="IY26" s="17">
        <v>26920</v>
      </c>
      <c r="IZ26" s="17">
        <v>27771</v>
      </c>
      <c r="JA26" s="17">
        <v>27771</v>
      </c>
      <c r="JB26" s="17">
        <v>27771</v>
      </c>
      <c r="JC26" s="17">
        <v>27771</v>
      </c>
      <c r="JD26" s="17">
        <v>27771</v>
      </c>
      <c r="JE26" s="17">
        <v>27771</v>
      </c>
      <c r="JF26" s="17">
        <v>27771</v>
      </c>
      <c r="JG26" s="17">
        <v>28596</v>
      </c>
      <c r="JH26" s="17">
        <v>28596</v>
      </c>
      <c r="JI26" s="17">
        <v>28596</v>
      </c>
      <c r="JJ26" s="17">
        <v>28596</v>
      </c>
      <c r="JK26" s="17">
        <v>28596</v>
      </c>
      <c r="JL26" s="17">
        <v>28596</v>
      </c>
      <c r="JM26" s="17">
        <v>28596</v>
      </c>
      <c r="JN26" s="17">
        <v>29383</v>
      </c>
      <c r="JO26" s="17">
        <v>29383</v>
      </c>
      <c r="JP26" s="17">
        <v>29383</v>
      </c>
      <c r="JQ26" s="17">
        <v>29383</v>
      </c>
      <c r="JR26" s="17">
        <v>29383</v>
      </c>
      <c r="JS26" s="17">
        <v>29383</v>
      </c>
      <c r="JT26" s="17">
        <v>29383</v>
      </c>
      <c r="JU26" s="17">
        <v>29687</v>
      </c>
      <c r="JV26" s="17">
        <v>29687</v>
      </c>
      <c r="JW26" s="17">
        <v>29687</v>
      </c>
      <c r="JX26" s="17">
        <v>29687</v>
      </c>
      <c r="JY26" s="17">
        <v>29687</v>
      </c>
      <c r="JZ26" s="17">
        <v>29687</v>
      </c>
      <c r="KA26" s="17">
        <v>29687</v>
      </c>
      <c r="KB26" s="17">
        <v>29984</v>
      </c>
      <c r="KC26" s="17">
        <v>29984</v>
      </c>
      <c r="KD26" s="17">
        <v>29984</v>
      </c>
      <c r="KE26" s="17">
        <v>29984</v>
      </c>
      <c r="KF26" s="17">
        <v>29984</v>
      </c>
      <c r="KG26" s="17">
        <v>29984</v>
      </c>
      <c r="KH26" s="17">
        <v>29984</v>
      </c>
      <c r="KI26" s="17">
        <v>30269</v>
      </c>
      <c r="KJ26" s="17">
        <v>30269</v>
      </c>
      <c r="KK26" s="17">
        <v>30269</v>
      </c>
      <c r="KL26" s="17">
        <v>30269</v>
      </c>
      <c r="KM26" s="17">
        <v>30269</v>
      </c>
      <c r="KN26" s="17">
        <v>30269</v>
      </c>
      <c r="KO26" s="17">
        <v>30269</v>
      </c>
      <c r="KP26" s="17">
        <v>30553</v>
      </c>
      <c r="KQ26" s="17">
        <v>30553</v>
      </c>
      <c r="KR26" s="17">
        <v>30553</v>
      </c>
      <c r="KS26" s="17">
        <v>30553</v>
      </c>
      <c r="KT26" s="17">
        <v>30553</v>
      </c>
      <c r="KU26" s="17">
        <v>30553</v>
      </c>
      <c r="KV26" s="17">
        <v>30553</v>
      </c>
      <c r="KW26" s="17">
        <v>30838</v>
      </c>
      <c r="KX26" s="17">
        <v>30838</v>
      </c>
      <c r="KY26" s="17">
        <v>30838</v>
      </c>
      <c r="KZ26" s="17">
        <v>30838</v>
      </c>
      <c r="LA26" s="17">
        <v>30838</v>
      </c>
      <c r="LB26" s="17">
        <v>30838</v>
      </c>
      <c r="LC26" s="17">
        <v>30838</v>
      </c>
      <c r="LD26" s="17">
        <v>31123</v>
      </c>
      <c r="LE26" s="17">
        <v>31123</v>
      </c>
      <c r="LF26" s="17">
        <v>31123</v>
      </c>
      <c r="LG26" s="17">
        <v>31123</v>
      </c>
      <c r="LH26" s="17">
        <v>31123</v>
      </c>
      <c r="LI26" s="17">
        <v>31123</v>
      </c>
      <c r="LJ26" s="17">
        <v>31123</v>
      </c>
      <c r="LK26" s="17">
        <v>31408</v>
      </c>
      <c r="LL26" s="17">
        <v>31408</v>
      </c>
      <c r="LM26" s="17">
        <v>31408</v>
      </c>
      <c r="LN26" s="17">
        <v>31408</v>
      </c>
      <c r="LO26" s="17">
        <v>31408</v>
      </c>
      <c r="LP26" s="17">
        <v>31408</v>
      </c>
      <c r="LQ26" s="17">
        <v>31408</v>
      </c>
      <c r="LR26" s="17">
        <v>31648</v>
      </c>
      <c r="LS26" s="17">
        <v>31648</v>
      </c>
      <c r="LT26" s="17">
        <v>31648</v>
      </c>
      <c r="LU26" s="17">
        <v>31648</v>
      </c>
      <c r="LV26" s="17">
        <v>31648</v>
      </c>
      <c r="LW26" s="17">
        <v>31648</v>
      </c>
      <c r="LX26" s="17">
        <v>31648</v>
      </c>
      <c r="LY26" s="17">
        <v>31888</v>
      </c>
      <c r="LZ26" s="17">
        <v>31888</v>
      </c>
      <c r="MA26" s="17">
        <v>31888</v>
      </c>
      <c r="MB26" s="17">
        <v>31888</v>
      </c>
      <c r="MC26" s="17">
        <v>31888</v>
      </c>
      <c r="MD26" s="17">
        <v>31888</v>
      </c>
      <c r="ME26" s="17">
        <v>31888</v>
      </c>
      <c r="MF26" s="17">
        <v>32008</v>
      </c>
      <c r="MG26" s="17">
        <v>32008</v>
      </c>
      <c r="MH26" s="17">
        <v>32008</v>
      </c>
      <c r="MI26" s="17">
        <v>32008</v>
      </c>
      <c r="MJ26" s="17">
        <v>32008</v>
      </c>
      <c r="MK26" s="17">
        <v>32008</v>
      </c>
      <c r="ML26" s="17">
        <v>32008</v>
      </c>
      <c r="MM26" s="17">
        <v>32128</v>
      </c>
      <c r="MN26" s="17">
        <v>32128</v>
      </c>
      <c r="MO26" s="17">
        <v>32128</v>
      </c>
      <c r="MP26" s="17">
        <v>32128</v>
      </c>
      <c r="MQ26" s="17">
        <v>32128</v>
      </c>
      <c r="MR26" s="17">
        <v>32128</v>
      </c>
      <c r="MS26" s="17">
        <v>32128</v>
      </c>
      <c r="MT26" s="17">
        <v>32248</v>
      </c>
      <c r="MU26" s="17">
        <v>32248</v>
      </c>
      <c r="MV26" s="17">
        <v>32248</v>
      </c>
      <c r="MW26" s="17">
        <v>32248</v>
      </c>
      <c r="MX26" s="17">
        <v>32248</v>
      </c>
      <c r="MY26" s="17">
        <v>32248</v>
      </c>
      <c r="MZ26" s="17">
        <v>32248</v>
      </c>
      <c r="NA26" s="17">
        <v>32488</v>
      </c>
      <c r="NB26" s="17">
        <v>32488</v>
      </c>
      <c r="NC26" s="17">
        <v>32488</v>
      </c>
      <c r="ND26" s="17">
        <v>32488</v>
      </c>
      <c r="NE26" s="17">
        <v>32488</v>
      </c>
      <c r="NF26" s="17">
        <v>32488</v>
      </c>
      <c r="NG26" s="17">
        <v>32488</v>
      </c>
      <c r="NH26" s="17">
        <v>32728</v>
      </c>
      <c r="NI26" s="17">
        <v>32728</v>
      </c>
      <c r="NJ26" s="17">
        <v>32728</v>
      </c>
      <c r="NK26" s="17">
        <v>32728</v>
      </c>
      <c r="NL26" s="17">
        <v>32728</v>
      </c>
      <c r="NM26" s="17">
        <v>32728</v>
      </c>
      <c r="NN26" s="17">
        <v>32728</v>
      </c>
      <c r="NO26" s="17">
        <v>32968</v>
      </c>
      <c r="NP26" s="17">
        <v>32968</v>
      </c>
      <c r="NQ26" s="17">
        <v>32968</v>
      </c>
      <c r="NR26" s="17">
        <v>32968</v>
      </c>
      <c r="NS26" s="17">
        <v>32968</v>
      </c>
      <c r="NT26" s="17">
        <v>32968</v>
      </c>
      <c r="NU26" s="17">
        <v>32968</v>
      </c>
      <c r="NV26" s="17">
        <v>33208</v>
      </c>
      <c r="NW26" s="17">
        <v>33208</v>
      </c>
      <c r="NX26" s="17">
        <v>33208</v>
      </c>
      <c r="NY26" s="17">
        <v>33208</v>
      </c>
      <c r="NZ26" s="17">
        <v>33208</v>
      </c>
      <c r="OA26" s="17">
        <v>33208</v>
      </c>
      <c r="OB26" s="17">
        <v>33208</v>
      </c>
      <c r="OC26" s="17">
        <v>33808</v>
      </c>
      <c r="OD26" s="17">
        <v>33808</v>
      </c>
      <c r="OE26" s="17">
        <v>33808</v>
      </c>
      <c r="OF26" s="17">
        <v>33808</v>
      </c>
      <c r="OG26" s="17">
        <v>33808</v>
      </c>
      <c r="OH26" s="17">
        <v>33808</v>
      </c>
      <c r="OI26" s="17">
        <v>33808</v>
      </c>
      <c r="OJ26" s="17">
        <v>34408</v>
      </c>
      <c r="OK26" s="17">
        <v>34408</v>
      </c>
      <c r="OL26" s="17">
        <v>34408</v>
      </c>
      <c r="OM26" s="17">
        <v>34408</v>
      </c>
      <c r="ON26" s="17">
        <v>34408</v>
      </c>
      <c r="OO26" s="17">
        <v>34408</v>
      </c>
      <c r="OP26" s="17">
        <v>34408</v>
      </c>
      <c r="OQ26" s="17">
        <v>35008</v>
      </c>
      <c r="OR26" s="17">
        <v>35008</v>
      </c>
      <c r="OS26" s="17">
        <v>35008</v>
      </c>
      <c r="OT26" s="17">
        <v>35008</v>
      </c>
      <c r="OU26" s="17">
        <v>35008</v>
      </c>
      <c r="OV26" s="17">
        <v>35008</v>
      </c>
      <c r="OW26" s="17">
        <v>35008</v>
      </c>
      <c r="OX26" s="17">
        <v>35248</v>
      </c>
      <c r="OY26" s="17">
        <v>35248</v>
      </c>
      <c r="OZ26" s="17">
        <v>35248</v>
      </c>
      <c r="PA26" s="17">
        <v>35248</v>
      </c>
      <c r="PB26" s="17">
        <v>35248</v>
      </c>
      <c r="PC26" s="17">
        <v>35248</v>
      </c>
      <c r="PD26" s="17">
        <v>35248</v>
      </c>
      <c r="PE26" s="17">
        <v>35248</v>
      </c>
      <c r="PF26" s="17">
        <v>35248</v>
      </c>
      <c r="PG26" s="17">
        <v>35248</v>
      </c>
      <c r="PH26" s="17">
        <v>35248</v>
      </c>
      <c r="PI26" s="17">
        <v>35248</v>
      </c>
      <c r="PJ26" s="17">
        <v>35248</v>
      </c>
      <c r="PK26" s="17">
        <v>35248</v>
      </c>
      <c r="PL26" s="17">
        <v>35248</v>
      </c>
    </row>
    <row r="27" spans="1:428" s="12" customFormat="1" outlineLevel="1">
      <c r="A27" s="20" t="s">
        <v>19</v>
      </c>
      <c r="B27" s="12" t="s">
        <v>21</v>
      </c>
      <c r="C27" s="12" t="str">
        <f t="shared" si="21"/>
        <v>LensCateyeMERLOT</v>
      </c>
      <c r="D27" s="12" t="s">
        <v>33</v>
      </c>
      <c r="E27" s="16" t="s">
        <v>14</v>
      </c>
      <c r="F27" s="13" t="s">
        <v>29</v>
      </c>
      <c r="G27" s="13" t="s">
        <v>4</v>
      </c>
      <c r="H27" s="14">
        <v>318003500482</v>
      </c>
      <c r="I27" s="13"/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7">
        <v>0</v>
      </c>
      <c r="DF27" s="17">
        <v>0</v>
      </c>
      <c r="DG27" s="17">
        <v>0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0</v>
      </c>
      <c r="DW27" s="17">
        <v>0</v>
      </c>
      <c r="DX27" s="17">
        <v>0</v>
      </c>
      <c r="DY27" s="17">
        <v>0</v>
      </c>
      <c r="DZ27" s="17">
        <v>0</v>
      </c>
      <c r="EA27" s="17">
        <v>0</v>
      </c>
      <c r="EB27" s="17">
        <v>0</v>
      </c>
      <c r="EC27" s="17">
        <v>0</v>
      </c>
      <c r="ED27" s="17">
        <v>0</v>
      </c>
      <c r="EE27" s="17">
        <v>0</v>
      </c>
      <c r="EF27" s="17">
        <v>0</v>
      </c>
      <c r="EG27" s="17">
        <v>0</v>
      </c>
      <c r="EH27" s="17">
        <v>0</v>
      </c>
      <c r="EI27" s="17">
        <v>0</v>
      </c>
      <c r="EJ27" s="17">
        <v>0</v>
      </c>
      <c r="EK27" s="17">
        <v>0</v>
      </c>
      <c r="EL27" s="17">
        <v>0</v>
      </c>
      <c r="EM27" s="17">
        <v>0</v>
      </c>
      <c r="EN27" s="17">
        <v>0</v>
      </c>
      <c r="EO27" s="17">
        <v>0</v>
      </c>
      <c r="EP27" s="17">
        <v>0</v>
      </c>
      <c r="EQ27" s="17">
        <v>0</v>
      </c>
      <c r="ER27" s="17">
        <v>0</v>
      </c>
      <c r="ES27" s="17">
        <v>0</v>
      </c>
      <c r="ET27" s="17">
        <v>0</v>
      </c>
      <c r="EU27" s="17">
        <v>0</v>
      </c>
      <c r="EV27" s="17">
        <v>0</v>
      </c>
      <c r="EW27" s="17">
        <v>0</v>
      </c>
      <c r="EX27" s="17">
        <v>0</v>
      </c>
      <c r="EY27" s="17">
        <v>0</v>
      </c>
      <c r="EZ27" s="17">
        <v>0</v>
      </c>
      <c r="FA27" s="17">
        <v>0</v>
      </c>
      <c r="FB27" s="17">
        <v>0</v>
      </c>
      <c r="FC27" s="17">
        <v>0</v>
      </c>
      <c r="FD27" s="17">
        <v>0</v>
      </c>
      <c r="FE27" s="17">
        <v>0</v>
      </c>
      <c r="FF27" s="17">
        <v>0</v>
      </c>
      <c r="FG27" s="17">
        <v>0</v>
      </c>
      <c r="FH27" s="17">
        <v>0</v>
      </c>
      <c r="FI27" s="17">
        <v>0</v>
      </c>
      <c r="FJ27" s="17">
        <v>0</v>
      </c>
      <c r="FK27" s="17">
        <v>0</v>
      </c>
      <c r="FL27" s="17">
        <v>0</v>
      </c>
      <c r="FM27" s="17">
        <v>0</v>
      </c>
      <c r="FN27" s="17">
        <v>0</v>
      </c>
      <c r="FO27" s="17">
        <v>0</v>
      </c>
      <c r="FP27" s="17">
        <v>0</v>
      </c>
      <c r="FQ27" s="17">
        <v>0</v>
      </c>
      <c r="FR27" s="17">
        <v>0</v>
      </c>
      <c r="FS27" s="17">
        <v>0</v>
      </c>
      <c r="FT27" s="17">
        <v>0</v>
      </c>
      <c r="FU27" s="17">
        <v>0</v>
      </c>
      <c r="FV27" s="17">
        <v>0</v>
      </c>
      <c r="FW27" s="17">
        <v>0</v>
      </c>
      <c r="FX27" s="17">
        <v>2458</v>
      </c>
      <c r="FY27" s="17">
        <v>2701</v>
      </c>
      <c r="FZ27" s="17">
        <v>2701</v>
      </c>
      <c r="GA27" s="17">
        <v>3262</v>
      </c>
      <c r="GB27" s="17">
        <v>3262</v>
      </c>
      <c r="GC27" s="17">
        <v>3262</v>
      </c>
      <c r="GD27" s="17">
        <v>3262</v>
      </c>
      <c r="GE27" s="17">
        <v>3262</v>
      </c>
      <c r="GF27" s="17">
        <v>3262</v>
      </c>
      <c r="GG27" s="17">
        <v>3262</v>
      </c>
      <c r="GH27" s="17">
        <v>3650</v>
      </c>
      <c r="GI27" s="17">
        <v>3650</v>
      </c>
      <c r="GJ27" s="17">
        <v>3650</v>
      </c>
      <c r="GK27" s="17">
        <v>3650</v>
      </c>
      <c r="GL27" s="17">
        <v>3650</v>
      </c>
      <c r="GM27" s="17">
        <v>3650</v>
      </c>
      <c r="GN27" s="17">
        <v>3650</v>
      </c>
      <c r="GO27" s="17">
        <v>4064</v>
      </c>
      <c r="GP27" s="17">
        <v>4064</v>
      </c>
      <c r="GQ27" s="17">
        <v>4064</v>
      </c>
      <c r="GR27" s="17">
        <v>4064</v>
      </c>
      <c r="GS27" s="17">
        <v>4064</v>
      </c>
      <c r="GT27" s="17">
        <v>4064</v>
      </c>
      <c r="GU27" s="17">
        <v>4064</v>
      </c>
      <c r="GV27" s="17">
        <v>4427</v>
      </c>
      <c r="GW27" s="17">
        <v>4427</v>
      </c>
      <c r="GX27" s="17">
        <v>4427</v>
      </c>
      <c r="GY27" s="17">
        <v>4427</v>
      </c>
      <c r="GZ27" s="17">
        <v>4427</v>
      </c>
      <c r="HA27" s="17">
        <v>4427</v>
      </c>
      <c r="HB27" s="17">
        <v>4427</v>
      </c>
      <c r="HC27" s="17">
        <v>5068</v>
      </c>
      <c r="HD27" s="17">
        <v>5068</v>
      </c>
      <c r="HE27" s="17">
        <v>5068</v>
      </c>
      <c r="HF27" s="17">
        <v>5068</v>
      </c>
      <c r="HG27" s="17">
        <v>5068</v>
      </c>
      <c r="HH27" s="17">
        <v>5068</v>
      </c>
      <c r="HI27" s="17">
        <v>5068</v>
      </c>
      <c r="HJ27" s="17">
        <v>5795</v>
      </c>
      <c r="HK27" s="17">
        <v>5795</v>
      </c>
      <c r="HL27" s="17">
        <v>5795</v>
      </c>
      <c r="HM27" s="17">
        <v>5795</v>
      </c>
      <c r="HN27" s="17">
        <v>5795</v>
      </c>
      <c r="HO27" s="17">
        <v>5795</v>
      </c>
      <c r="HP27" s="17">
        <v>5795</v>
      </c>
      <c r="HQ27" s="17">
        <v>6678</v>
      </c>
      <c r="HR27" s="17">
        <v>6678</v>
      </c>
      <c r="HS27" s="17">
        <v>6678</v>
      </c>
      <c r="HT27" s="17">
        <v>6678</v>
      </c>
      <c r="HU27" s="17">
        <v>6678</v>
      </c>
      <c r="HV27" s="17">
        <v>6678</v>
      </c>
      <c r="HW27" s="17">
        <v>6678</v>
      </c>
      <c r="HX27" s="17">
        <v>7709</v>
      </c>
      <c r="HY27" s="17">
        <v>7709</v>
      </c>
      <c r="HZ27" s="17">
        <v>7709</v>
      </c>
      <c r="IA27" s="17">
        <v>7709</v>
      </c>
      <c r="IB27" s="17">
        <v>7709</v>
      </c>
      <c r="IC27" s="17">
        <v>7709</v>
      </c>
      <c r="ID27" s="17">
        <v>7709</v>
      </c>
      <c r="IE27" s="17">
        <v>8122</v>
      </c>
      <c r="IF27" s="17">
        <v>8122</v>
      </c>
      <c r="IG27" s="17">
        <v>8122</v>
      </c>
      <c r="IH27" s="17">
        <v>8122</v>
      </c>
      <c r="II27" s="17">
        <v>8122</v>
      </c>
      <c r="IJ27" s="17">
        <v>8122</v>
      </c>
      <c r="IK27" s="17">
        <v>8122</v>
      </c>
      <c r="IL27" s="17">
        <v>8676</v>
      </c>
      <c r="IM27" s="17">
        <v>8676</v>
      </c>
      <c r="IN27" s="17">
        <v>8676</v>
      </c>
      <c r="IO27" s="17">
        <v>8676</v>
      </c>
      <c r="IP27" s="17">
        <v>8676</v>
      </c>
      <c r="IQ27" s="17">
        <v>8676</v>
      </c>
      <c r="IR27" s="17">
        <v>8676</v>
      </c>
      <c r="IS27" s="17">
        <v>9272</v>
      </c>
      <c r="IT27" s="17">
        <v>9272</v>
      </c>
      <c r="IU27" s="17">
        <v>9272</v>
      </c>
      <c r="IV27" s="17">
        <v>9272</v>
      </c>
      <c r="IW27" s="17">
        <v>9272</v>
      </c>
      <c r="IX27" s="17">
        <v>9272</v>
      </c>
      <c r="IY27" s="17">
        <v>9272</v>
      </c>
      <c r="IZ27" s="17">
        <v>9555</v>
      </c>
      <c r="JA27" s="17">
        <v>9555</v>
      </c>
      <c r="JB27" s="17">
        <v>9555</v>
      </c>
      <c r="JC27" s="17">
        <v>9555</v>
      </c>
      <c r="JD27" s="17">
        <v>9555</v>
      </c>
      <c r="JE27" s="17">
        <v>9555</v>
      </c>
      <c r="JF27" s="17">
        <v>9555</v>
      </c>
      <c r="JG27" s="17">
        <v>9845</v>
      </c>
      <c r="JH27" s="17">
        <v>9845</v>
      </c>
      <c r="JI27" s="17">
        <v>9845</v>
      </c>
      <c r="JJ27" s="17">
        <v>9845</v>
      </c>
      <c r="JK27" s="17">
        <v>9845</v>
      </c>
      <c r="JL27" s="17">
        <v>9845</v>
      </c>
      <c r="JM27" s="17">
        <v>9845</v>
      </c>
      <c r="JN27" s="17">
        <v>10126</v>
      </c>
      <c r="JO27" s="17">
        <v>10126</v>
      </c>
      <c r="JP27" s="17">
        <v>10126</v>
      </c>
      <c r="JQ27" s="17">
        <v>10126</v>
      </c>
      <c r="JR27" s="17">
        <v>10126</v>
      </c>
      <c r="JS27" s="17">
        <v>10126</v>
      </c>
      <c r="JT27" s="17">
        <v>10126</v>
      </c>
      <c r="JU27" s="17">
        <v>10238</v>
      </c>
      <c r="JV27" s="17">
        <v>10238</v>
      </c>
      <c r="JW27" s="17">
        <v>10238</v>
      </c>
      <c r="JX27" s="17">
        <v>10238</v>
      </c>
      <c r="JY27" s="17">
        <v>10238</v>
      </c>
      <c r="JZ27" s="17">
        <v>10238</v>
      </c>
      <c r="KA27" s="17">
        <v>10238</v>
      </c>
      <c r="KB27" s="17">
        <v>10339</v>
      </c>
      <c r="KC27" s="17">
        <v>10339</v>
      </c>
      <c r="KD27" s="17">
        <v>10339</v>
      </c>
      <c r="KE27" s="17">
        <v>10339</v>
      </c>
      <c r="KF27" s="17">
        <v>10339</v>
      </c>
      <c r="KG27" s="17">
        <v>10339</v>
      </c>
      <c r="KH27" s="17">
        <v>10339</v>
      </c>
      <c r="KI27" s="17">
        <v>10419</v>
      </c>
      <c r="KJ27" s="17">
        <v>10419</v>
      </c>
      <c r="KK27" s="17">
        <v>10419</v>
      </c>
      <c r="KL27" s="17">
        <v>10419</v>
      </c>
      <c r="KM27" s="17">
        <v>10419</v>
      </c>
      <c r="KN27" s="17">
        <v>10419</v>
      </c>
      <c r="KO27" s="17">
        <v>10419</v>
      </c>
      <c r="KP27" s="17">
        <v>10499</v>
      </c>
      <c r="KQ27" s="17">
        <v>10499</v>
      </c>
      <c r="KR27" s="17">
        <v>10499</v>
      </c>
      <c r="KS27" s="17">
        <v>10499</v>
      </c>
      <c r="KT27" s="17">
        <v>10499</v>
      </c>
      <c r="KU27" s="17">
        <v>10499</v>
      </c>
      <c r="KV27" s="17">
        <v>10499</v>
      </c>
      <c r="KW27" s="17">
        <v>10584</v>
      </c>
      <c r="KX27" s="17">
        <v>10584</v>
      </c>
      <c r="KY27" s="17">
        <v>10584</v>
      </c>
      <c r="KZ27" s="17">
        <v>10584</v>
      </c>
      <c r="LA27" s="17">
        <v>10584</v>
      </c>
      <c r="LB27" s="17">
        <v>10584</v>
      </c>
      <c r="LC27" s="17">
        <v>10584</v>
      </c>
      <c r="LD27" s="17">
        <v>10680</v>
      </c>
      <c r="LE27" s="17">
        <v>10680</v>
      </c>
      <c r="LF27" s="17">
        <v>10680</v>
      </c>
      <c r="LG27" s="17">
        <v>10680</v>
      </c>
      <c r="LH27" s="17">
        <v>10680</v>
      </c>
      <c r="LI27" s="17">
        <v>10680</v>
      </c>
      <c r="LJ27" s="17">
        <v>10680</v>
      </c>
      <c r="LK27" s="17">
        <v>10776</v>
      </c>
      <c r="LL27" s="17">
        <v>10776</v>
      </c>
      <c r="LM27" s="17">
        <v>10776</v>
      </c>
      <c r="LN27" s="17">
        <v>10776</v>
      </c>
      <c r="LO27" s="17">
        <v>10776</v>
      </c>
      <c r="LP27" s="17">
        <v>10776</v>
      </c>
      <c r="LQ27" s="17">
        <v>10776</v>
      </c>
      <c r="LR27" s="17">
        <v>10856</v>
      </c>
      <c r="LS27" s="17">
        <v>10856</v>
      </c>
      <c r="LT27" s="17">
        <v>10856</v>
      </c>
      <c r="LU27" s="17">
        <v>10856</v>
      </c>
      <c r="LV27" s="17">
        <v>10856</v>
      </c>
      <c r="LW27" s="17">
        <v>10856</v>
      </c>
      <c r="LX27" s="17">
        <v>10856</v>
      </c>
      <c r="LY27" s="17">
        <v>10936</v>
      </c>
      <c r="LZ27" s="17">
        <v>10936</v>
      </c>
      <c r="MA27" s="17">
        <v>10936</v>
      </c>
      <c r="MB27" s="17">
        <v>10936</v>
      </c>
      <c r="MC27" s="17">
        <v>10936</v>
      </c>
      <c r="MD27" s="17">
        <v>10936</v>
      </c>
      <c r="ME27" s="17">
        <v>10936</v>
      </c>
      <c r="MF27" s="17">
        <v>10976</v>
      </c>
      <c r="MG27" s="17">
        <v>10976</v>
      </c>
      <c r="MH27" s="17">
        <v>10976</v>
      </c>
      <c r="MI27" s="17">
        <v>10976</v>
      </c>
      <c r="MJ27" s="17">
        <v>10976</v>
      </c>
      <c r="MK27" s="17">
        <v>10976</v>
      </c>
      <c r="ML27" s="17">
        <v>10976</v>
      </c>
      <c r="MM27" s="17">
        <v>11016</v>
      </c>
      <c r="MN27" s="17">
        <v>11016</v>
      </c>
      <c r="MO27" s="17">
        <v>11016</v>
      </c>
      <c r="MP27" s="17">
        <v>11016</v>
      </c>
      <c r="MQ27" s="17">
        <v>11016</v>
      </c>
      <c r="MR27" s="17">
        <v>11016</v>
      </c>
      <c r="MS27" s="17">
        <v>11016</v>
      </c>
      <c r="MT27" s="17">
        <v>11056</v>
      </c>
      <c r="MU27" s="17">
        <v>11056</v>
      </c>
      <c r="MV27" s="17">
        <v>11056</v>
      </c>
      <c r="MW27" s="17">
        <v>11056</v>
      </c>
      <c r="MX27" s="17">
        <v>11056</v>
      </c>
      <c r="MY27" s="17">
        <v>11056</v>
      </c>
      <c r="MZ27" s="17">
        <v>11056</v>
      </c>
      <c r="NA27" s="17">
        <v>11135.508979999999</v>
      </c>
      <c r="NB27" s="17">
        <v>11135.508979999999</v>
      </c>
      <c r="NC27" s="17">
        <v>11136</v>
      </c>
      <c r="ND27" s="17">
        <v>11136</v>
      </c>
      <c r="NE27" s="17">
        <v>11136</v>
      </c>
      <c r="NF27" s="17">
        <v>11136</v>
      </c>
      <c r="NG27" s="17">
        <v>11136</v>
      </c>
      <c r="NH27" s="17">
        <v>11216</v>
      </c>
      <c r="NI27" s="17">
        <v>11216</v>
      </c>
      <c r="NJ27" s="17">
        <v>11216</v>
      </c>
      <c r="NK27" s="17">
        <v>11216</v>
      </c>
      <c r="NL27" s="17">
        <v>11216</v>
      </c>
      <c r="NM27" s="17">
        <v>11216</v>
      </c>
      <c r="NN27" s="17">
        <v>11216</v>
      </c>
      <c r="NO27" s="17">
        <v>11296</v>
      </c>
      <c r="NP27" s="17">
        <v>11296</v>
      </c>
      <c r="NQ27" s="17">
        <v>11296</v>
      </c>
      <c r="NR27" s="17">
        <v>11296</v>
      </c>
      <c r="NS27" s="17">
        <v>11296</v>
      </c>
      <c r="NT27" s="17">
        <v>11296</v>
      </c>
      <c r="NU27" s="17">
        <v>11296</v>
      </c>
      <c r="NV27" s="17">
        <v>11376</v>
      </c>
      <c r="NW27" s="17">
        <v>11376</v>
      </c>
      <c r="NX27" s="17">
        <v>11376</v>
      </c>
      <c r="NY27" s="17">
        <v>11376</v>
      </c>
      <c r="NZ27" s="17">
        <v>11376</v>
      </c>
      <c r="OA27" s="17">
        <v>11376</v>
      </c>
      <c r="OB27" s="17">
        <v>11376</v>
      </c>
      <c r="OC27" s="17">
        <v>11576</v>
      </c>
      <c r="OD27" s="17">
        <v>11576</v>
      </c>
      <c r="OE27" s="17">
        <v>11576</v>
      </c>
      <c r="OF27" s="17">
        <v>11576</v>
      </c>
      <c r="OG27" s="17">
        <v>11576</v>
      </c>
      <c r="OH27" s="17">
        <v>11576</v>
      </c>
      <c r="OI27" s="17">
        <v>11576</v>
      </c>
      <c r="OJ27" s="17">
        <v>11776</v>
      </c>
      <c r="OK27" s="17">
        <v>11776</v>
      </c>
      <c r="OL27" s="17">
        <v>11776</v>
      </c>
      <c r="OM27" s="17">
        <v>11776</v>
      </c>
      <c r="ON27" s="17">
        <v>11776</v>
      </c>
      <c r="OO27" s="17">
        <v>11776</v>
      </c>
      <c r="OP27" s="17">
        <v>11776</v>
      </c>
      <c r="OQ27" s="17">
        <v>11976</v>
      </c>
      <c r="OR27" s="17">
        <v>11976</v>
      </c>
      <c r="OS27" s="17">
        <v>11976</v>
      </c>
      <c r="OT27" s="17">
        <v>11976</v>
      </c>
      <c r="OU27" s="17">
        <v>11976</v>
      </c>
      <c r="OV27" s="17">
        <v>11976</v>
      </c>
      <c r="OW27" s="17">
        <v>11976</v>
      </c>
      <c r="OX27" s="17">
        <v>12055.508979999999</v>
      </c>
      <c r="OY27" s="17">
        <v>12055.508979999999</v>
      </c>
      <c r="OZ27" s="17">
        <v>12055.508979999999</v>
      </c>
      <c r="PA27" s="17">
        <v>12055.508979999999</v>
      </c>
      <c r="PB27" s="17">
        <v>12055.508979999999</v>
      </c>
      <c r="PC27" s="17">
        <v>12055.508979999999</v>
      </c>
      <c r="PD27" s="17">
        <v>12055.508979999999</v>
      </c>
      <c r="PE27" s="17">
        <v>12055.508979999999</v>
      </c>
      <c r="PF27" s="17">
        <v>12055.508979999999</v>
      </c>
      <c r="PG27" s="17">
        <v>12055.508979999999</v>
      </c>
      <c r="PH27" s="17">
        <v>12055.508979999999</v>
      </c>
      <c r="PI27" s="17">
        <v>12055.508979999999</v>
      </c>
      <c r="PJ27" s="17">
        <v>12055.508979999999</v>
      </c>
      <c r="PK27" s="17">
        <v>12055.508979999999</v>
      </c>
      <c r="PL27" s="17">
        <v>12055.508979999999</v>
      </c>
    </row>
    <row r="28" spans="1:428" s="12" customFormat="1" outlineLevel="1">
      <c r="A28" s="20" t="s">
        <v>19</v>
      </c>
      <c r="B28" s="12" t="s">
        <v>21</v>
      </c>
      <c r="C28" s="12" t="str">
        <f t="shared" si="21"/>
        <v>LensCateyeBlack Ice (translucent)</v>
      </c>
      <c r="D28" s="12" t="s">
        <v>33</v>
      </c>
      <c r="E28" s="16" t="s">
        <v>14</v>
      </c>
      <c r="F28" s="13" t="s">
        <v>29</v>
      </c>
      <c r="G28" s="13" t="s">
        <v>30</v>
      </c>
      <c r="H28" s="14">
        <v>318003500691</v>
      </c>
      <c r="I28" s="13"/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0</v>
      </c>
      <c r="DW28" s="17">
        <v>0</v>
      </c>
      <c r="DX28" s="17">
        <v>0</v>
      </c>
      <c r="DY28" s="17">
        <v>0</v>
      </c>
      <c r="DZ28" s="17">
        <v>0</v>
      </c>
      <c r="EA28" s="17">
        <v>0</v>
      </c>
      <c r="EB28" s="17">
        <v>0</v>
      </c>
      <c r="EC28" s="17">
        <v>0</v>
      </c>
      <c r="ED28" s="17">
        <v>0</v>
      </c>
      <c r="EE28" s="17">
        <v>0</v>
      </c>
      <c r="EF28" s="17">
        <v>0</v>
      </c>
      <c r="EG28" s="17">
        <v>0</v>
      </c>
      <c r="EH28" s="17">
        <v>0</v>
      </c>
      <c r="EI28" s="17">
        <v>0</v>
      </c>
      <c r="EJ28" s="17">
        <v>0</v>
      </c>
      <c r="EK28" s="17">
        <v>0</v>
      </c>
      <c r="EL28" s="17">
        <v>0</v>
      </c>
      <c r="EM28" s="17">
        <v>0</v>
      </c>
      <c r="EN28" s="17">
        <v>0</v>
      </c>
      <c r="EO28" s="17">
        <v>0</v>
      </c>
      <c r="EP28" s="17">
        <v>0</v>
      </c>
      <c r="EQ28" s="17">
        <v>0</v>
      </c>
      <c r="ER28" s="17">
        <v>0</v>
      </c>
      <c r="ES28" s="17">
        <v>0</v>
      </c>
      <c r="ET28" s="17">
        <v>0</v>
      </c>
      <c r="EU28" s="17">
        <v>0</v>
      </c>
      <c r="EV28" s="17">
        <v>0</v>
      </c>
      <c r="EW28" s="17">
        <v>0</v>
      </c>
      <c r="EX28" s="17">
        <v>0</v>
      </c>
      <c r="EY28" s="17">
        <v>0</v>
      </c>
      <c r="EZ28" s="17">
        <v>0</v>
      </c>
      <c r="FA28" s="17">
        <v>0</v>
      </c>
      <c r="FB28" s="17">
        <v>0</v>
      </c>
      <c r="FC28" s="17">
        <v>0</v>
      </c>
      <c r="FD28" s="17">
        <v>0</v>
      </c>
      <c r="FE28" s="17">
        <v>0</v>
      </c>
      <c r="FF28" s="17">
        <v>0</v>
      </c>
      <c r="FG28" s="17">
        <v>632</v>
      </c>
      <c r="FH28" s="17">
        <v>632</v>
      </c>
      <c r="FI28" s="17">
        <v>1432</v>
      </c>
      <c r="FJ28" s="17">
        <v>1432</v>
      </c>
      <c r="FK28" s="17">
        <v>2432</v>
      </c>
      <c r="FL28" s="17">
        <v>2432</v>
      </c>
      <c r="FM28" s="17">
        <v>2772</v>
      </c>
      <c r="FN28" s="17">
        <v>2772</v>
      </c>
      <c r="FO28" s="17">
        <v>2772</v>
      </c>
      <c r="FP28" s="17">
        <v>2772</v>
      </c>
      <c r="FQ28" s="17">
        <v>3326</v>
      </c>
      <c r="FR28" s="17">
        <v>3326</v>
      </c>
      <c r="FS28" s="17">
        <v>3326</v>
      </c>
      <c r="FT28" s="17">
        <v>3326</v>
      </c>
      <c r="FU28" s="17">
        <v>3326</v>
      </c>
      <c r="FV28" s="17">
        <v>3326</v>
      </c>
      <c r="FW28" s="17">
        <v>3326</v>
      </c>
      <c r="FX28" s="17">
        <v>3326</v>
      </c>
      <c r="FY28" s="17">
        <v>3326</v>
      </c>
      <c r="FZ28" s="17">
        <v>3326</v>
      </c>
      <c r="GA28" s="17">
        <v>3326</v>
      </c>
      <c r="GB28" s="17">
        <v>3326</v>
      </c>
      <c r="GC28" s="17">
        <v>3326</v>
      </c>
      <c r="GD28" s="17">
        <v>3326</v>
      </c>
      <c r="GE28" s="17">
        <v>4326</v>
      </c>
      <c r="GF28" s="17">
        <v>5326</v>
      </c>
      <c r="GG28" s="17">
        <v>6826</v>
      </c>
      <c r="GH28" s="17">
        <v>8326</v>
      </c>
      <c r="GI28" s="17">
        <v>10326</v>
      </c>
      <c r="GJ28" s="17">
        <v>10326</v>
      </c>
      <c r="GK28" s="17">
        <v>10326</v>
      </c>
      <c r="GL28" s="17">
        <v>10326</v>
      </c>
      <c r="GM28" s="17">
        <f>16326-1989</f>
        <v>14337</v>
      </c>
      <c r="GN28" s="17">
        <f>16326-1989</f>
        <v>14337</v>
      </c>
      <c r="GO28" s="17">
        <v>20326</v>
      </c>
      <c r="GP28" s="17">
        <v>22326</v>
      </c>
      <c r="GQ28" s="17">
        <v>24326</v>
      </c>
      <c r="GR28" s="17">
        <v>24326</v>
      </c>
      <c r="GS28" s="17">
        <v>24326</v>
      </c>
      <c r="GT28" s="17">
        <v>24326</v>
      </c>
      <c r="GU28" s="17">
        <v>24326</v>
      </c>
      <c r="GV28" s="17">
        <v>24326</v>
      </c>
      <c r="GW28" s="17">
        <v>34326</v>
      </c>
      <c r="GX28" s="17">
        <v>36326</v>
      </c>
      <c r="GY28" s="17">
        <v>36326</v>
      </c>
      <c r="GZ28" s="17">
        <v>37568</v>
      </c>
      <c r="HA28" s="17">
        <v>37568</v>
      </c>
      <c r="HB28" s="17">
        <v>37568</v>
      </c>
      <c r="HC28" s="17">
        <v>40521</v>
      </c>
      <c r="HD28" s="17">
        <v>40521</v>
      </c>
      <c r="HE28" s="17">
        <v>41662</v>
      </c>
      <c r="HF28" s="17">
        <v>41662</v>
      </c>
      <c r="HG28" s="17">
        <v>41662</v>
      </c>
      <c r="HH28" s="17">
        <v>41662</v>
      </c>
      <c r="HI28" s="17">
        <v>41662</v>
      </c>
      <c r="HJ28" s="17">
        <v>43977</v>
      </c>
      <c r="HK28" s="17">
        <v>43977</v>
      </c>
      <c r="HL28" s="17">
        <v>45033</v>
      </c>
      <c r="HM28" s="17">
        <v>45033</v>
      </c>
      <c r="HN28" s="17">
        <v>45033</v>
      </c>
      <c r="HO28" s="17">
        <v>45033</v>
      </c>
      <c r="HP28" s="17">
        <v>45033</v>
      </c>
      <c r="HQ28" s="17">
        <v>45033</v>
      </c>
      <c r="HR28" s="17">
        <v>45033</v>
      </c>
      <c r="HS28" s="17">
        <v>46223</v>
      </c>
      <c r="HT28" s="17">
        <v>46223</v>
      </c>
      <c r="HU28" s="17">
        <v>46223</v>
      </c>
      <c r="HV28" s="17">
        <v>46223</v>
      </c>
      <c r="HW28" s="17">
        <v>46223</v>
      </c>
      <c r="HX28" s="17">
        <v>46281</v>
      </c>
      <c r="HY28" s="17">
        <v>46281</v>
      </c>
      <c r="HZ28" s="17">
        <v>46761</v>
      </c>
      <c r="IA28" s="17">
        <v>46761</v>
      </c>
      <c r="IB28" s="17">
        <v>46761</v>
      </c>
      <c r="IC28" s="17">
        <v>46761</v>
      </c>
      <c r="ID28" s="17">
        <v>46761</v>
      </c>
      <c r="IE28" s="17">
        <v>46761</v>
      </c>
      <c r="IF28" s="17">
        <v>46761</v>
      </c>
      <c r="IG28" s="17">
        <v>46761</v>
      </c>
      <c r="IH28" s="17">
        <v>46761</v>
      </c>
      <c r="II28" s="17">
        <v>46761</v>
      </c>
      <c r="IJ28" s="17">
        <v>46761</v>
      </c>
      <c r="IK28" s="17">
        <v>46761</v>
      </c>
      <c r="IL28" s="17">
        <v>46761</v>
      </c>
      <c r="IM28" s="17">
        <v>46761</v>
      </c>
      <c r="IN28" s="17">
        <v>47145</v>
      </c>
      <c r="IO28" s="17">
        <v>47145</v>
      </c>
      <c r="IP28" s="17">
        <v>47145</v>
      </c>
      <c r="IQ28" s="17">
        <v>47145</v>
      </c>
      <c r="IR28" s="17">
        <v>47145</v>
      </c>
      <c r="IS28" s="17">
        <v>47145</v>
      </c>
      <c r="IT28" s="17">
        <v>47145</v>
      </c>
      <c r="IU28" s="17">
        <v>47241</v>
      </c>
      <c r="IV28" s="17">
        <v>47241</v>
      </c>
      <c r="IW28" s="17">
        <v>47241</v>
      </c>
      <c r="IX28" s="17">
        <v>47241</v>
      </c>
      <c r="IY28" s="17">
        <v>47241</v>
      </c>
      <c r="IZ28" s="17">
        <v>47241</v>
      </c>
      <c r="JA28" s="17">
        <v>47241</v>
      </c>
      <c r="JB28" s="17">
        <v>47337</v>
      </c>
      <c r="JC28" s="17">
        <v>47337</v>
      </c>
      <c r="JD28" s="17">
        <v>47337</v>
      </c>
      <c r="JE28" s="17">
        <v>47337</v>
      </c>
      <c r="JF28" s="17">
        <v>47337</v>
      </c>
      <c r="JG28" s="17">
        <v>47337</v>
      </c>
      <c r="JH28" s="17">
        <v>47337</v>
      </c>
      <c r="JI28" s="17">
        <v>47433</v>
      </c>
      <c r="JJ28" s="17">
        <v>47433</v>
      </c>
      <c r="JK28" s="17">
        <v>47433</v>
      </c>
      <c r="JL28" s="17">
        <v>47433</v>
      </c>
      <c r="JM28" s="17">
        <v>47433</v>
      </c>
      <c r="JN28" s="17">
        <v>47433</v>
      </c>
      <c r="JO28" s="17">
        <v>47433</v>
      </c>
      <c r="JP28" s="17">
        <v>47433</v>
      </c>
      <c r="JQ28" s="17">
        <v>47433</v>
      </c>
      <c r="JR28" s="17">
        <v>47433</v>
      </c>
      <c r="JS28" s="17">
        <v>47433</v>
      </c>
      <c r="JT28" s="17">
        <v>47433</v>
      </c>
      <c r="JU28" s="17">
        <v>47433</v>
      </c>
      <c r="JV28" s="17">
        <v>47433</v>
      </c>
      <c r="JW28" s="17">
        <v>47433</v>
      </c>
      <c r="JX28" s="17">
        <v>47433</v>
      </c>
      <c r="JY28" s="17">
        <v>47433</v>
      </c>
      <c r="JZ28" s="17">
        <v>47433</v>
      </c>
      <c r="KA28" s="17">
        <v>47433</v>
      </c>
      <c r="KB28" s="17">
        <v>47433</v>
      </c>
      <c r="KC28" s="17">
        <v>47433</v>
      </c>
      <c r="KD28" s="17">
        <v>47433</v>
      </c>
      <c r="KE28" s="17">
        <v>47433</v>
      </c>
      <c r="KF28" s="17">
        <v>47433</v>
      </c>
      <c r="KG28" s="17">
        <v>47433</v>
      </c>
      <c r="KH28" s="17">
        <v>47433</v>
      </c>
      <c r="KI28" s="17">
        <v>47433</v>
      </c>
      <c r="KJ28" s="17">
        <v>47433</v>
      </c>
      <c r="KK28" s="17">
        <v>47433</v>
      </c>
      <c r="KL28" s="17">
        <v>47433</v>
      </c>
      <c r="KM28" s="17">
        <v>47433</v>
      </c>
      <c r="KN28" s="17">
        <v>47433</v>
      </c>
      <c r="KO28" s="17">
        <v>47433</v>
      </c>
      <c r="KP28" s="17">
        <v>47433</v>
      </c>
      <c r="KQ28" s="17">
        <v>47433</v>
      </c>
      <c r="KR28" s="17">
        <v>47433</v>
      </c>
      <c r="KS28" s="17">
        <v>47433</v>
      </c>
      <c r="KT28" s="17">
        <v>47433</v>
      </c>
      <c r="KU28" s="17">
        <v>47433</v>
      </c>
      <c r="KV28" s="17">
        <v>47433</v>
      </c>
      <c r="KW28" s="17">
        <v>47433</v>
      </c>
      <c r="KX28" s="17">
        <v>47433</v>
      </c>
      <c r="KY28" s="17">
        <v>47529</v>
      </c>
      <c r="KZ28" s="17">
        <v>47529</v>
      </c>
      <c r="LA28" s="17">
        <v>47529</v>
      </c>
      <c r="LB28" s="17">
        <v>47529</v>
      </c>
      <c r="LC28" s="17">
        <v>47529</v>
      </c>
      <c r="LD28" s="17">
        <v>47529</v>
      </c>
      <c r="LE28" s="17">
        <v>47529</v>
      </c>
      <c r="LF28" s="17">
        <v>47529</v>
      </c>
      <c r="LG28" s="17">
        <v>47529</v>
      </c>
      <c r="LH28" s="17">
        <v>47529</v>
      </c>
      <c r="LI28" s="17">
        <v>47529</v>
      </c>
      <c r="LJ28" s="17">
        <v>47529</v>
      </c>
      <c r="LK28" s="17">
        <v>47529</v>
      </c>
      <c r="LL28" s="17">
        <v>47529</v>
      </c>
      <c r="LM28" s="17">
        <v>47817</v>
      </c>
      <c r="LN28" s="17">
        <v>47817</v>
      </c>
      <c r="LO28" s="17">
        <v>47817</v>
      </c>
      <c r="LP28" s="17">
        <v>47817</v>
      </c>
      <c r="LQ28" s="17">
        <v>47817</v>
      </c>
      <c r="LR28" s="17">
        <v>47817</v>
      </c>
      <c r="LS28" s="17">
        <v>47817</v>
      </c>
      <c r="LT28" s="17">
        <v>48201</v>
      </c>
      <c r="LU28" s="17">
        <v>48201</v>
      </c>
      <c r="LV28" s="17">
        <v>48201</v>
      </c>
      <c r="LW28" s="17">
        <v>48201</v>
      </c>
      <c r="LX28" s="17">
        <v>48201</v>
      </c>
      <c r="LY28" s="17">
        <v>48201</v>
      </c>
      <c r="LZ28" s="17">
        <v>48201</v>
      </c>
      <c r="MA28" s="17">
        <v>48393</v>
      </c>
      <c r="MB28" s="17">
        <v>48393</v>
      </c>
      <c r="MC28" s="17">
        <v>48393</v>
      </c>
      <c r="MD28" s="17">
        <v>48393</v>
      </c>
      <c r="ME28" s="17">
        <v>48393</v>
      </c>
      <c r="MF28" s="17">
        <v>48393</v>
      </c>
      <c r="MG28" s="17">
        <v>48393</v>
      </c>
      <c r="MH28" s="17">
        <v>48489</v>
      </c>
      <c r="MI28" s="17">
        <v>48489</v>
      </c>
      <c r="MJ28" s="17">
        <v>48489</v>
      </c>
      <c r="MK28" s="17">
        <v>48489</v>
      </c>
      <c r="ML28" s="17">
        <v>48489</v>
      </c>
      <c r="MM28" s="17">
        <v>48489</v>
      </c>
      <c r="MN28" s="17">
        <v>48489</v>
      </c>
      <c r="MO28" s="17">
        <v>48681</v>
      </c>
      <c r="MP28" s="17">
        <v>48681</v>
      </c>
      <c r="MQ28" s="17">
        <v>48681</v>
      </c>
      <c r="MR28" s="17">
        <v>48681</v>
      </c>
      <c r="MS28" s="17">
        <v>48681</v>
      </c>
      <c r="MT28" s="17">
        <v>48681</v>
      </c>
      <c r="MU28" s="17">
        <v>48681</v>
      </c>
      <c r="MV28" s="17">
        <v>49065</v>
      </c>
      <c r="MW28" s="17">
        <v>49065</v>
      </c>
      <c r="MX28" s="17">
        <v>49065</v>
      </c>
      <c r="MY28" s="17">
        <v>49065</v>
      </c>
      <c r="MZ28" s="17">
        <v>49065</v>
      </c>
      <c r="NA28" s="17">
        <v>49065</v>
      </c>
      <c r="NB28" s="17">
        <v>49065</v>
      </c>
      <c r="NC28" s="17">
        <v>49353</v>
      </c>
      <c r="ND28" s="17">
        <v>49353</v>
      </c>
      <c r="NE28" s="17">
        <v>49353</v>
      </c>
      <c r="NF28" s="17">
        <v>49353</v>
      </c>
      <c r="NG28" s="17">
        <v>49353</v>
      </c>
      <c r="NH28" s="17">
        <v>49353</v>
      </c>
      <c r="NI28" s="17">
        <v>49353</v>
      </c>
      <c r="NJ28" s="17">
        <v>49737</v>
      </c>
      <c r="NK28" s="17">
        <v>49737</v>
      </c>
      <c r="NL28" s="17">
        <v>49737</v>
      </c>
      <c r="NM28" s="17">
        <v>49737</v>
      </c>
      <c r="NN28" s="17">
        <v>49737</v>
      </c>
      <c r="NO28" s="17">
        <v>49737</v>
      </c>
      <c r="NP28" s="17">
        <v>49737</v>
      </c>
      <c r="NQ28" s="17">
        <v>50025</v>
      </c>
      <c r="NR28" s="17">
        <v>50025</v>
      </c>
      <c r="NS28" s="17">
        <v>50025</v>
      </c>
      <c r="NT28" s="17">
        <v>50025</v>
      </c>
      <c r="NU28" s="17">
        <v>50025</v>
      </c>
      <c r="NV28" s="17">
        <v>50025</v>
      </c>
      <c r="NW28" s="17">
        <v>50025</v>
      </c>
      <c r="NX28" s="17">
        <v>50889</v>
      </c>
      <c r="NY28" s="17">
        <v>50889</v>
      </c>
      <c r="NZ28" s="17">
        <v>50889</v>
      </c>
      <c r="OA28" s="17">
        <v>50889</v>
      </c>
      <c r="OB28" s="17">
        <v>50889</v>
      </c>
      <c r="OC28" s="17">
        <v>50889</v>
      </c>
      <c r="OD28" s="17">
        <v>50889</v>
      </c>
      <c r="OE28" s="17">
        <v>51753</v>
      </c>
      <c r="OF28" s="17">
        <v>51753</v>
      </c>
      <c r="OG28" s="17">
        <v>51753</v>
      </c>
      <c r="OH28" s="17">
        <v>51753</v>
      </c>
      <c r="OI28" s="17">
        <v>51753</v>
      </c>
      <c r="OJ28" s="17">
        <v>51753</v>
      </c>
      <c r="OK28" s="17">
        <v>51753</v>
      </c>
      <c r="OL28" s="17">
        <v>52617</v>
      </c>
      <c r="OM28" s="17">
        <v>52617</v>
      </c>
      <c r="ON28" s="17">
        <v>52617</v>
      </c>
      <c r="OO28" s="17">
        <v>52617</v>
      </c>
      <c r="OP28" s="17">
        <v>52617</v>
      </c>
      <c r="OQ28" s="17">
        <v>52617</v>
      </c>
      <c r="OR28" s="17">
        <v>52617</v>
      </c>
      <c r="OS28" s="17">
        <v>52907</v>
      </c>
      <c r="OT28" s="17">
        <v>52907</v>
      </c>
      <c r="OU28" s="17">
        <v>52907</v>
      </c>
      <c r="OV28" s="17">
        <v>52907</v>
      </c>
      <c r="OW28" s="17">
        <v>52907</v>
      </c>
      <c r="OX28" s="17">
        <v>52907</v>
      </c>
      <c r="OY28" s="17">
        <v>52907</v>
      </c>
      <c r="OZ28" s="17">
        <v>52907</v>
      </c>
      <c r="PA28" s="17">
        <v>52907</v>
      </c>
      <c r="PB28" s="17">
        <v>52907</v>
      </c>
      <c r="PC28" s="17">
        <v>52907</v>
      </c>
      <c r="PD28" s="17">
        <v>52907</v>
      </c>
      <c r="PE28" s="17">
        <v>52907</v>
      </c>
      <c r="PF28" s="17">
        <v>52907</v>
      </c>
      <c r="PG28" s="17">
        <v>52907</v>
      </c>
      <c r="PH28" s="17">
        <v>52907</v>
      </c>
      <c r="PI28" s="17">
        <v>52907</v>
      </c>
      <c r="PJ28" s="17">
        <v>52907</v>
      </c>
      <c r="PK28" s="17">
        <v>52907</v>
      </c>
      <c r="PL28" s="17">
        <v>52907</v>
      </c>
    </row>
    <row r="29" spans="1:428" s="12" customFormat="1" outlineLevel="1">
      <c r="A29" s="20" t="s">
        <v>19</v>
      </c>
      <c r="B29" s="12" t="s">
        <v>21</v>
      </c>
      <c r="C29" s="12" t="str">
        <f t="shared" si="21"/>
        <v>LensCateyeCreme</v>
      </c>
      <c r="D29" s="12" t="s">
        <v>33</v>
      </c>
      <c r="E29" s="16" t="s">
        <v>14</v>
      </c>
      <c r="F29" s="13" t="s">
        <v>29</v>
      </c>
      <c r="G29" s="13" t="s">
        <v>31</v>
      </c>
      <c r="H29" s="14">
        <v>318003500692</v>
      </c>
      <c r="I29" s="13"/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0</v>
      </c>
      <c r="DX29" s="17">
        <v>0</v>
      </c>
      <c r="DY29" s="17">
        <v>0</v>
      </c>
      <c r="DZ29" s="17">
        <v>0</v>
      </c>
      <c r="EA29" s="17">
        <v>0</v>
      </c>
      <c r="EB29" s="17">
        <v>0</v>
      </c>
      <c r="EC29" s="17">
        <v>0</v>
      </c>
      <c r="ED29" s="17">
        <v>0</v>
      </c>
      <c r="EE29" s="17">
        <v>0</v>
      </c>
      <c r="EF29" s="17">
        <v>0</v>
      </c>
      <c r="EG29" s="17">
        <v>0</v>
      </c>
      <c r="EH29" s="17">
        <v>0</v>
      </c>
      <c r="EI29" s="17">
        <v>0</v>
      </c>
      <c r="EJ29" s="17">
        <v>0</v>
      </c>
      <c r="EK29" s="17">
        <v>0</v>
      </c>
      <c r="EL29" s="17">
        <v>0</v>
      </c>
      <c r="EM29" s="17">
        <v>0</v>
      </c>
      <c r="EN29" s="17">
        <v>0</v>
      </c>
      <c r="EO29" s="17">
        <v>0</v>
      </c>
      <c r="EP29" s="17">
        <v>0</v>
      </c>
      <c r="EQ29" s="17">
        <v>0</v>
      </c>
      <c r="ER29" s="17">
        <v>0</v>
      </c>
      <c r="ES29" s="17">
        <v>0</v>
      </c>
      <c r="ET29" s="17">
        <v>0</v>
      </c>
      <c r="EU29" s="17">
        <v>0</v>
      </c>
      <c r="EV29" s="17">
        <v>0</v>
      </c>
      <c r="EW29" s="17">
        <v>0</v>
      </c>
      <c r="EX29" s="17">
        <v>0</v>
      </c>
      <c r="EY29" s="17">
        <v>0</v>
      </c>
      <c r="EZ29" s="17">
        <v>0</v>
      </c>
      <c r="FA29" s="17">
        <v>0</v>
      </c>
      <c r="FB29" s="17">
        <v>0</v>
      </c>
      <c r="FC29" s="17">
        <v>0</v>
      </c>
      <c r="FD29" s="17">
        <v>0</v>
      </c>
      <c r="FE29" s="17">
        <v>0</v>
      </c>
      <c r="FF29" s="17">
        <v>0</v>
      </c>
      <c r="FG29" s="17">
        <v>0</v>
      </c>
      <c r="FH29" s="17">
        <v>0</v>
      </c>
      <c r="FI29" s="17">
        <v>0</v>
      </c>
      <c r="FJ29" s="17">
        <v>0</v>
      </c>
      <c r="FK29" s="17">
        <v>0</v>
      </c>
      <c r="FL29" s="17">
        <v>0</v>
      </c>
      <c r="FM29" s="17">
        <v>0</v>
      </c>
      <c r="FN29" s="17">
        <v>0</v>
      </c>
      <c r="FO29" s="17">
        <v>0</v>
      </c>
      <c r="FP29" s="17">
        <v>0</v>
      </c>
      <c r="FQ29" s="17">
        <v>0</v>
      </c>
      <c r="FR29" s="17">
        <v>0</v>
      </c>
      <c r="FS29" s="17">
        <v>0</v>
      </c>
      <c r="FT29" s="17">
        <v>0</v>
      </c>
      <c r="FU29" s="17">
        <v>0</v>
      </c>
      <c r="FV29" s="17">
        <v>0</v>
      </c>
      <c r="FW29" s="17">
        <v>0</v>
      </c>
      <c r="FX29" s="17">
        <v>0</v>
      </c>
      <c r="FY29" s="17">
        <v>0</v>
      </c>
      <c r="FZ29" s="17">
        <v>0</v>
      </c>
      <c r="GA29" s="17">
        <v>0</v>
      </c>
      <c r="GB29" s="17">
        <v>0</v>
      </c>
      <c r="GC29" s="17">
        <v>0</v>
      </c>
      <c r="GD29" s="17">
        <v>0</v>
      </c>
      <c r="GE29" s="17">
        <v>0</v>
      </c>
      <c r="GF29" s="17">
        <v>0</v>
      </c>
      <c r="GG29" s="17">
        <v>0</v>
      </c>
      <c r="GH29" s="17">
        <v>0</v>
      </c>
      <c r="GI29" s="17">
        <v>0</v>
      </c>
      <c r="GJ29" s="17">
        <v>0</v>
      </c>
      <c r="GK29" s="17">
        <v>0</v>
      </c>
      <c r="GL29" s="17">
        <v>0</v>
      </c>
      <c r="GM29" s="17">
        <v>0</v>
      </c>
      <c r="GN29" s="17">
        <v>0</v>
      </c>
      <c r="GO29" s="17">
        <v>0</v>
      </c>
      <c r="GP29" s="17">
        <v>0</v>
      </c>
      <c r="GQ29" s="17">
        <v>0</v>
      </c>
      <c r="GR29" s="17">
        <v>0</v>
      </c>
      <c r="GS29" s="17">
        <v>0</v>
      </c>
      <c r="GT29" s="17">
        <v>0</v>
      </c>
      <c r="GU29" s="17">
        <v>0</v>
      </c>
      <c r="GV29" s="17">
        <v>0</v>
      </c>
      <c r="GW29" s="17">
        <v>0</v>
      </c>
      <c r="GX29" s="17">
        <v>0</v>
      </c>
      <c r="GY29" s="17">
        <v>0</v>
      </c>
      <c r="GZ29" s="17">
        <v>0</v>
      </c>
      <c r="HA29" s="17">
        <v>0</v>
      </c>
      <c r="HB29" s="17">
        <v>0</v>
      </c>
      <c r="HC29" s="17">
        <v>0</v>
      </c>
      <c r="HD29" s="17">
        <v>0</v>
      </c>
      <c r="HE29" s="17">
        <v>0</v>
      </c>
      <c r="HF29" s="17">
        <v>0</v>
      </c>
      <c r="HG29" s="17">
        <v>0</v>
      </c>
      <c r="HH29" s="17">
        <v>0</v>
      </c>
      <c r="HI29" s="17">
        <v>0</v>
      </c>
      <c r="HJ29" s="17">
        <v>0</v>
      </c>
      <c r="HK29" s="17">
        <v>0</v>
      </c>
      <c r="HL29" s="17">
        <v>0</v>
      </c>
      <c r="HM29" s="17">
        <v>0</v>
      </c>
      <c r="HN29" s="17">
        <v>0</v>
      </c>
      <c r="HO29" s="17">
        <v>0</v>
      </c>
      <c r="HP29" s="17">
        <v>0</v>
      </c>
      <c r="HQ29" s="17">
        <v>0</v>
      </c>
      <c r="HR29" s="17">
        <v>0</v>
      </c>
      <c r="HS29" s="17">
        <v>0</v>
      </c>
      <c r="HT29" s="17">
        <v>0</v>
      </c>
      <c r="HU29" s="17">
        <v>0</v>
      </c>
      <c r="HV29" s="17">
        <v>0</v>
      </c>
      <c r="HW29" s="17">
        <v>0</v>
      </c>
      <c r="HX29" s="17">
        <v>0</v>
      </c>
      <c r="HY29" s="17">
        <v>0</v>
      </c>
      <c r="HZ29" s="17">
        <v>0</v>
      </c>
      <c r="IA29" s="17">
        <v>0</v>
      </c>
      <c r="IB29" s="17">
        <v>0</v>
      </c>
      <c r="IC29" s="17">
        <v>0</v>
      </c>
      <c r="ID29" s="17">
        <v>0</v>
      </c>
      <c r="IE29" s="17">
        <v>0</v>
      </c>
      <c r="IF29" s="17">
        <v>0</v>
      </c>
      <c r="IG29" s="17">
        <v>0</v>
      </c>
      <c r="IH29" s="17">
        <v>0</v>
      </c>
      <c r="II29" s="17">
        <v>0</v>
      </c>
      <c r="IJ29" s="17">
        <v>0</v>
      </c>
      <c r="IK29" s="17">
        <v>0</v>
      </c>
      <c r="IL29" s="17">
        <v>0</v>
      </c>
      <c r="IM29" s="17">
        <v>0</v>
      </c>
      <c r="IN29" s="17">
        <v>0</v>
      </c>
      <c r="IO29" s="17">
        <v>0</v>
      </c>
      <c r="IP29" s="17">
        <v>0</v>
      </c>
      <c r="IQ29" s="17">
        <v>0</v>
      </c>
      <c r="IR29" s="17">
        <v>0</v>
      </c>
      <c r="IS29" s="17">
        <v>0</v>
      </c>
      <c r="IT29" s="17">
        <v>0</v>
      </c>
      <c r="IU29" s="17">
        <v>0</v>
      </c>
      <c r="IV29" s="17">
        <v>0</v>
      </c>
      <c r="IW29" s="17">
        <v>0</v>
      </c>
      <c r="IX29" s="17">
        <v>0</v>
      </c>
      <c r="IY29" s="17">
        <v>0</v>
      </c>
      <c r="IZ29" s="17">
        <v>0</v>
      </c>
      <c r="JA29" s="17">
        <v>0</v>
      </c>
      <c r="JB29" s="17">
        <v>0</v>
      </c>
      <c r="JC29" s="17">
        <v>0</v>
      </c>
      <c r="JD29" s="17">
        <v>0</v>
      </c>
      <c r="JE29" s="17">
        <v>0</v>
      </c>
      <c r="JF29" s="17">
        <v>0</v>
      </c>
      <c r="JG29" s="17">
        <v>0</v>
      </c>
      <c r="JH29" s="17">
        <v>0</v>
      </c>
      <c r="JI29" s="17">
        <v>0</v>
      </c>
      <c r="JJ29" s="17">
        <v>0</v>
      </c>
      <c r="JK29" s="17">
        <v>0</v>
      </c>
      <c r="JL29" s="17">
        <v>0</v>
      </c>
      <c r="JM29" s="17">
        <v>0</v>
      </c>
      <c r="JN29" s="17">
        <v>0</v>
      </c>
      <c r="JO29" s="17">
        <v>0</v>
      </c>
      <c r="JP29" s="17">
        <v>0</v>
      </c>
      <c r="JQ29" s="17">
        <v>0</v>
      </c>
      <c r="JR29" s="17">
        <v>0</v>
      </c>
      <c r="JS29" s="17">
        <v>0</v>
      </c>
      <c r="JT29" s="17">
        <v>0</v>
      </c>
      <c r="JU29" s="17">
        <v>0</v>
      </c>
      <c r="JV29" s="17">
        <v>0</v>
      </c>
      <c r="JW29" s="17">
        <v>0</v>
      </c>
      <c r="JX29" s="17">
        <v>0</v>
      </c>
      <c r="JY29" s="17">
        <v>0</v>
      </c>
      <c r="JZ29" s="17">
        <v>0</v>
      </c>
      <c r="KA29" s="17">
        <v>0</v>
      </c>
      <c r="KB29" s="17">
        <v>0</v>
      </c>
      <c r="KC29" s="17">
        <v>0</v>
      </c>
      <c r="KD29" s="17">
        <v>0</v>
      </c>
      <c r="KE29" s="17">
        <v>0</v>
      </c>
      <c r="KF29" s="17">
        <v>0</v>
      </c>
      <c r="KG29" s="17">
        <v>0</v>
      </c>
      <c r="KH29" s="17">
        <v>0</v>
      </c>
      <c r="KI29" s="17">
        <v>0</v>
      </c>
      <c r="KJ29" s="17">
        <v>0</v>
      </c>
      <c r="KK29" s="17">
        <v>0</v>
      </c>
      <c r="KL29" s="17">
        <v>0</v>
      </c>
      <c r="KM29" s="17">
        <v>0</v>
      </c>
      <c r="KN29" s="17">
        <v>0</v>
      </c>
      <c r="KO29" s="17">
        <v>0</v>
      </c>
      <c r="KP29" s="17">
        <v>0</v>
      </c>
      <c r="KQ29" s="17">
        <v>0</v>
      </c>
      <c r="KR29" s="17">
        <v>0</v>
      </c>
      <c r="KS29" s="17">
        <v>0</v>
      </c>
      <c r="KT29" s="17">
        <v>0</v>
      </c>
      <c r="KU29" s="17">
        <v>0</v>
      </c>
      <c r="KV29" s="17">
        <v>0</v>
      </c>
      <c r="KW29" s="17">
        <v>0</v>
      </c>
      <c r="KX29" s="17">
        <v>0</v>
      </c>
      <c r="KY29" s="17">
        <v>0</v>
      </c>
      <c r="KZ29" s="17">
        <v>0</v>
      </c>
      <c r="LA29" s="17">
        <v>0</v>
      </c>
      <c r="LB29" s="17">
        <v>0</v>
      </c>
      <c r="LC29" s="17">
        <v>0</v>
      </c>
      <c r="LD29" s="17">
        <v>0</v>
      </c>
      <c r="LE29" s="17">
        <v>0</v>
      </c>
      <c r="LF29" s="17">
        <v>0</v>
      </c>
      <c r="LG29" s="17">
        <v>0</v>
      </c>
      <c r="LH29" s="17">
        <v>0</v>
      </c>
      <c r="LI29" s="17">
        <v>0</v>
      </c>
      <c r="LJ29" s="17">
        <v>0</v>
      </c>
      <c r="LK29" s="17">
        <v>0</v>
      </c>
      <c r="LL29" s="17">
        <v>0</v>
      </c>
      <c r="LM29" s="17">
        <v>0</v>
      </c>
      <c r="LN29" s="17">
        <v>0</v>
      </c>
      <c r="LO29" s="17">
        <v>0</v>
      </c>
      <c r="LP29" s="17">
        <v>0</v>
      </c>
      <c r="LQ29" s="17">
        <v>0</v>
      </c>
      <c r="LR29" s="17">
        <v>0</v>
      </c>
      <c r="LS29" s="17">
        <v>0</v>
      </c>
      <c r="LT29" s="17">
        <v>0</v>
      </c>
      <c r="LU29" s="17">
        <v>0</v>
      </c>
      <c r="LV29" s="17">
        <v>0</v>
      </c>
      <c r="LW29" s="17">
        <v>0</v>
      </c>
      <c r="LX29" s="17">
        <v>0</v>
      </c>
      <c r="LY29" s="17">
        <v>0</v>
      </c>
      <c r="LZ29" s="17">
        <v>0</v>
      </c>
      <c r="MA29" s="17">
        <v>0</v>
      </c>
      <c r="MB29" s="17">
        <v>0</v>
      </c>
      <c r="MC29" s="17">
        <v>0</v>
      </c>
      <c r="MD29" s="17">
        <v>0</v>
      </c>
      <c r="ME29" s="17">
        <v>0</v>
      </c>
      <c r="MF29" s="17">
        <v>0</v>
      </c>
      <c r="MG29" s="17">
        <v>0</v>
      </c>
      <c r="MH29" s="17">
        <v>0</v>
      </c>
      <c r="MI29" s="17">
        <v>0</v>
      </c>
      <c r="MJ29" s="17">
        <v>0</v>
      </c>
      <c r="MK29" s="17">
        <v>0</v>
      </c>
      <c r="ML29" s="17">
        <v>0</v>
      </c>
      <c r="MM29" s="17">
        <v>0</v>
      </c>
      <c r="MN29" s="17">
        <v>0</v>
      </c>
      <c r="MO29" s="17">
        <v>0</v>
      </c>
      <c r="MP29" s="17">
        <v>0</v>
      </c>
      <c r="MQ29" s="17">
        <v>0</v>
      </c>
      <c r="MR29" s="17">
        <v>0</v>
      </c>
      <c r="MS29" s="17">
        <v>0</v>
      </c>
      <c r="MT29" s="17">
        <v>0</v>
      </c>
      <c r="MU29" s="17">
        <v>0</v>
      </c>
      <c r="MV29" s="17">
        <v>0</v>
      </c>
      <c r="MW29" s="17">
        <v>0</v>
      </c>
      <c r="MX29" s="17">
        <v>0</v>
      </c>
      <c r="MY29" s="17">
        <v>0</v>
      </c>
      <c r="MZ29" s="17">
        <v>0</v>
      </c>
      <c r="NA29" s="17">
        <v>0</v>
      </c>
      <c r="NB29" s="17">
        <v>0</v>
      </c>
      <c r="NC29" s="17">
        <v>0</v>
      </c>
      <c r="ND29" s="17">
        <v>0</v>
      </c>
      <c r="NE29" s="17">
        <v>0</v>
      </c>
      <c r="NF29" s="17">
        <v>0</v>
      </c>
      <c r="NG29" s="17">
        <v>0</v>
      </c>
      <c r="NH29" s="17">
        <v>0</v>
      </c>
      <c r="NI29" s="17">
        <v>0</v>
      </c>
      <c r="NJ29" s="17">
        <v>0</v>
      </c>
      <c r="NK29" s="17">
        <v>0</v>
      </c>
      <c r="NL29" s="17">
        <v>0</v>
      </c>
      <c r="NM29" s="17">
        <v>0</v>
      </c>
      <c r="NN29" s="17">
        <v>0</v>
      </c>
      <c r="NO29" s="17">
        <v>0</v>
      </c>
      <c r="NP29" s="17">
        <v>0</v>
      </c>
      <c r="NQ29" s="17">
        <v>0</v>
      </c>
      <c r="NR29" s="17">
        <v>0</v>
      </c>
      <c r="NS29" s="17">
        <v>0</v>
      </c>
      <c r="NT29" s="17">
        <v>0</v>
      </c>
      <c r="NU29" s="17">
        <v>0</v>
      </c>
      <c r="NV29" s="17">
        <v>0</v>
      </c>
      <c r="NW29" s="17">
        <v>0</v>
      </c>
      <c r="NX29" s="17">
        <v>0</v>
      </c>
      <c r="NY29" s="17">
        <v>0</v>
      </c>
      <c r="NZ29" s="17">
        <v>0</v>
      </c>
      <c r="OA29" s="17">
        <v>0</v>
      </c>
      <c r="OB29" s="17">
        <v>0</v>
      </c>
      <c r="OC29" s="17">
        <v>0</v>
      </c>
      <c r="OD29" s="17">
        <v>0</v>
      </c>
      <c r="OE29" s="17">
        <v>0</v>
      </c>
      <c r="OF29" s="17">
        <v>0</v>
      </c>
      <c r="OG29" s="17">
        <v>0</v>
      </c>
      <c r="OH29" s="17">
        <v>0</v>
      </c>
      <c r="OI29" s="17">
        <v>0</v>
      </c>
      <c r="OJ29" s="17">
        <v>0</v>
      </c>
      <c r="OK29" s="17">
        <v>0</v>
      </c>
      <c r="OL29" s="17">
        <v>0</v>
      </c>
      <c r="OM29" s="17">
        <v>0</v>
      </c>
      <c r="ON29" s="17">
        <v>0</v>
      </c>
      <c r="OO29" s="17">
        <v>0</v>
      </c>
      <c r="OP29" s="17">
        <v>0</v>
      </c>
      <c r="OQ29" s="17">
        <v>0</v>
      </c>
      <c r="OR29" s="17">
        <v>0</v>
      </c>
      <c r="OS29" s="17">
        <v>0</v>
      </c>
      <c r="OT29" s="17">
        <v>0</v>
      </c>
      <c r="OU29" s="17">
        <v>0</v>
      </c>
      <c r="OV29" s="17">
        <v>0</v>
      </c>
      <c r="OW29" s="17">
        <v>0</v>
      </c>
      <c r="OX29" s="17">
        <v>0</v>
      </c>
      <c r="OY29" s="17">
        <v>0</v>
      </c>
      <c r="OZ29" s="17">
        <v>0</v>
      </c>
      <c r="PA29" s="17">
        <v>0</v>
      </c>
      <c r="PB29" s="17">
        <v>0</v>
      </c>
      <c r="PC29" s="17">
        <v>0</v>
      </c>
      <c r="PD29" s="17">
        <v>0</v>
      </c>
      <c r="PE29" s="17">
        <v>0</v>
      </c>
      <c r="PF29" s="17">
        <v>0</v>
      </c>
      <c r="PG29" s="17">
        <v>0</v>
      </c>
      <c r="PH29" s="17">
        <v>0</v>
      </c>
      <c r="PI29" s="17">
        <v>0</v>
      </c>
      <c r="PJ29" s="17">
        <v>0</v>
      </c>
      <c r="PK29" s="17">
        <v>0</v>
      </c>
      <c r="PL29" s="17">
        <v>0</v>
      </c>
    </row>
    <row r="30" spans="1:428" s="12" customFormat="1" outlineLevel="1">
      <c r="A30" s="20" t="s">
        <v>19</v>
      </c>
      <c r="B30" s="12" t="s">
        <v>38</v>
      </c>
      <c r="C30" s="12" t="str">
        <f t="shared" si="21"/>
        <v>LensPanthos MBLACK</v>
      </c>
      <c r="D30" s="12" t="s">
        <v>33</v>
      </c>
      <c r="E30" s="16" t="s">
        <v>14</v>
      </c>
      <c r="F30" s="13" t="s">
        <v>40</v>
      </c>
      <c r="G30" s="13" t="s">
        <v>1</v>
      </c>
      <c r="H30" s="14">
        <v>318003500484</v>
      </c>
      <c r="I30" s="13"/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0</v>
      </c>
      <c r="EB30" s="17">
        <v>0</v>
      </c>
      <c r="EC30" s="17">
        <v>0</v>
      </c>
      <c r="ED30" s="17">
        <v>0</v>
      </c>
      <c r="EE30" s="17">
        <v>0</v>
      </c>
      <c r="EF30" s="17">
        <v>0</v>
      </c>
      <c r="EG30" s="17">
        <v>0</v>
      </c>
      <c r="EH30" s="17">
        <v>0</v>
      </c>
      <c r="EI30" s="17">
        <v>0</v>
      </c>
      <c r="EJ30" s="17">
        <v>0</v>
      </c>
      <c r="EK30" s="17">
        <v>0</v>
      </c>
      <c r="EL30" s="17">
        <v>0</v>
      </c>
      <c r="EM30" s="17">
        <v>0</v>
      </c>
      <c r="EN30" s="17">
        <v>0</v>
      </c>
      <c r="EO30" s="17">
        <v>0</v>
      </c>
      <c r="EP30" s="17">
        <v>0</v>
      </c>
      <c r="EQ30" s="17">
        <v>0</v>
      </c>
      <c r="ER30" s="17">
        <v>0</v>
      </c>
      <c r="ES30" s="17">
        <v>0</v>
      </c>
      <c r="ET30" s="17">
        <v>0</v>
      </c>
      <c r="EU30" s="17">
        <v>0</v>
      </c>
      <c r="EV30" s="17">
        <v>0</v>
      </c>
      <c r="EW30" s="17">
        <v>0</v>
      </c>
      <c r="EX30" s="17">
        <v>0</v>
      </c>
      <c r="EY30" s="17">
        <v>0</v>
      </c>
      <c r="EZ30" s="17">
        <v>0</v>
      </c>
      <c r="FA30" s="17">
        <v>0</v>
      </c>
      <c r="FB30" s="17">
        <v>0</v>
      </c>
      <c r="FC30" s="17">
        <v>0</v>
      </c>
      <c r="FD30" s="17">
        <v>0</v>
      </c>
      <c r="FE30" s="17">
        <v>0</v>
      </c>
      <c r="FF30" s="17">
        <v>0</v>
      </c>
      <c r="FG30" s="17">
        <v>0</v>
      </c>
      <c r="FH30" s="17">
        <v>0</v>
      </c>
      <c r="FI30" s="17">
        <v>0</v>
      </c>
      <c r="FJ30" s="17">
        <v>0</v>
      </c>
      <c r="FK30" s="17">
        <v>0</v>
      </c>
      <c r="FL30" s="17">
        <v>0</v>
      </c>
      <c r="FM30" s="17">
        <v>0</v>
      </c>
      <c r="FN30" s="17">
        <v>0</v>
      </c>
      <c r="FO30" s="17">
        <v>0</v>
      </c>
      <c r="FP30" s="17">
        <v>0</v>
      </c>
      <c r="FQ30" s="17">
        <v>0</v>
      </c>
      <c r="FR30" s="17">
        <v>0</v>
      </c>
      <c r="FS30" s="17">
        <v>0</v>
      </c>
      <c r="FT30" s="17">
        <v>0</v>
      </c>
      <c r="FU30" s="17">
        <v>0</v>
      </c>
      <c r="FV30" s="17">
        <v>0</v>
      </c>
      <c r="FW30" s="17">
        <v>0</v>
      </c>
      <c r="FX30" s="17">
        <v>0</v>
      </c>
      <c r="FY30" s="17">
        <v>0</v>
      </c>
      <c r="FZ30" s="17">
        <v>0</v>
      </c>
      <c r="GA30" s="17">
        <v>0</v>
      </c>
      <c r="GB30" s="17">
        <v>0</v>
      </c>
      <c r="GC30" s="17">
        <v>4000</v>
      </c>
      <c r="GD30" s="17">
        <v>8000</v>
      </c>
      <c r="GE30" s="17">
        <v>12000</v>
      </c>
      <c r="GF30" s="17">
        <v>13118</v>
      </c>
      <c r="GG30" s="17">
        <v>13118</v>
      </c>
      <c r="GH30" s="17">
        <v>14650</v>
      </c>
      <c r="GI30" s="17">
        <v>14650</v>
      </c>
      <c r="GJ30" s="17">
        <v>14650</v>
      </c>
      <c r="GK30" s="17">
        <v>14650</v>
      </c>
      <c r="GL30" s="17">
        <v>14650</v>
      </c>
      <c r="GM30" s="17">
        <v>14650</v>
      </c>
      <c r="GN30" s="17">
        <v>14650</v>
      </c>
      <c r="GO30" s="17">
        <v>15751</v>
      </c>
      <c r="GP30" s="17">
        <v>15751</v>
      </c>
      <c r="GQ30" s="17">
        <v>15751</v>
      </c>
      <c r="GR30" s="17">
        <v>15751</v>
      </c>
      <c r="GS30" s="17">
        <v>15751</v>
      </c>
      <c r="GT30" s="17">
        <v>15751</v>
      </c>
      <c r="GU30" s="17">
        <v>15751</v>
      </c>
      <c r="GV30" s="17">
        <v>16876</v>
      </c>
      <c r="GW30" s="17">
        <v>16876</v>
      </c>
      <c r="GX30" s="17">
        <v>16876</v>
      </c>
      <c r="GY30" s="17">
        <v>16876</v>
      </c>
      <c r="GZ30" s="17">
        <v>16876</v>
      </c>
      <c r="HA30" s="17">
        <v>16876</v>
      </c>
      <c r="HB30" s="17">
        <v>16876</v>
      </c>
      <c r="HC30" s="17">
        <v>18083</v>
      </c>
      <c r="HD30" s="17">
        <v>18083</v>
      </c>
      <c r="HE30" s="17">
        <v>18083</v>
      </c>
      <c r="HF30" s="17">
        <v>18083</v>
      </c>
      <c r="HG30" s="17">
        <v>18083</v>
      </c>
      <c r="HH30" s="17">
        <v>18083</v>
      </c>
      <c r="HI30" s="17">
        <v>18083</v>
      </c>
      <c r="HJ30" s="17">
        <v>19277</v>
      </c>
      <c r="HK30" s="17">
        <v>19277</v>
      </c>
      <c r="HL30" s="17">
        <v>19277</v>
      </c>
      <c r="HM30" s="17">
        <v>19277</v>
      </c>
      <c r="HN30" s="17">
        <v>19277</v>
      </c>
      <c r="HO30" s="17">
        <v>19277</v>
      </c>
      <c r="HP30" s="17">
        <v>19277</v>
      </c>
      <c r="HQ30" s="17">
        <v>20334</v>
      </c>
      <c r="HR30" s="17">
        <v>20334</v>
      </c>
      <c r="HS30" s="17">
        <v>20334</v>
      </c>
      <c r="HT30" s="17">
        <v>20334</v>
      </c>
      <c r="HU30" s="17">
        <v>20334</v>
      </c>
      <c r="HV30" s="17">
        <v>20334</v>
      </c>
      <c r="HW30" s="17">
        <v>20334</v>
      </c>
      <c r="HX30" s="17">
        <v>20561</v>
      </c>
      <c r="HY30" s="17">
        <v>20561</v>
      </c>
      <c r="HZ30" s="17">
        <v>20561</v>
      </c>
      <c r="IA30" s="17">
        <v>20561</v>
      </c>
      <c r="IB30" s="17">
        <v>20561</v>
      </c>
      <c r="IC30" s="17">
        <v>20561</v>
      </c>
      <c r="ID30" s="17">
        <v>20561</v>
      </c>
      <c r="IE30" s="17">
        <v>20741</v>
      </c>
      <c r="IF30" s="17">
        <v>20741</v>
      </c>
      <c r="IG30" s="17">
        <v>20741</v>
      </c>
      <c r="IH30" s="17">
        <v>20741</v>
      </c>
      <c r="II30" s="17">
        <v>20741</v>
      </c>
      <c r="IJ30" s="17">
        <v>20741</v>
      </c>
      <c r="IK30" s="17">
        <v>20741</v>
      </c>
      <c r="IL30" s="17">
        <v>20922</v>
      </c>
      <c r="IM30" s="17">
        <v>20922</v>
      </c>
      <c r="IN30" s="17">
        <v>20922</v>
      </c>
      <c r="IO30" s="17">
        <v>20922</v>
      </c>
      <c r="IP30" s="17">
        <v>20922</v>
      </c>
      <c r="IQ30" s="17">
        <v>20922</v>
      </c>
      <c r="IR30" s="17">
        <v>20922</v>
      </c>
      <c r="IS30" s="17">
        <v>21108</v>
      </c>
      <c r="IT30" s="17">
        <v>21108</v>
      </c>
      <c r="IU30" s="17">
        <v>21108</v>
      </c>
      <c r="IV30" s="17">
        <v>21108</v>
      </c>
      <c r="IW30" s="17">
        <v>21108</v>
      </c>
      <c r="IX30" s="17">
        <v>21108</v>
      </c>
      <c r="IY30" s="17">
        <v>21108</v>
      </c>
      <c r="IZ30" s="17">
        <v>21301</v>
      </c>
      <c r="JA30" s="17">
        <v>21301</v>
      </c>
      <c r="JB30" s="17">
        <v>21301</v>
      </c>
      <c r="JC30" s="17">
        <v>21301</v>
      </c>
      <c r="JD30" s="17">
        <v>21301</v>
      </c>
      <c r="JE30" s="17">
        <v>21301</v>
      </c>
      <c r="JF30" s="17">
        <v>21301</v>
      </c>
      <c r="JG30" s="17">
        <v>21493</v>
      </c>
      <c r="JH30" s="17">
        <v>21493</v>
      </c>
      <c r="JI30" s="17">
        <v>21493</v>
      </c>
      <c r="JJ30" s="17">
        <v>21493</v>
      </c>
      <c r="JK30" s="17">
        <v>21493</v>
      </c>
      <c r="JL30" s="17">
        <v>21493</v>
      </c>
      <c r="JM30" s="17">
        <v>21493</v>
      </c>
      <c r="JN30" s="17">
        <v>21835</v>
      </c>
      <c r="JO30" s="17">
        <v>21835</v>
      </c>
      <c r="JP30" s="17">
        <v>21835</v>
      </c>
      <c r="JQ30" s="17">
        <v>21835</v>
      </c>
      <c r="JR30" s="17">
        <v>21835</v>
      </c>
      <c r="JS30" s="17">
        <v>21835</v>
      </c>
      <c r="JT30" s="17">
        <v>21835</v>
      </c>
      <c r="JU30" s="17">
        <v>22542</v>
      </c>
      <c r="JV30" s="17">
        <v>22542</v>
      </c>
      <c r="JW30" s="17">
        <v>22542</v>
      </c>
      <c r="JX30" s="17">
        <v>22542</v>
      </c>
      <c r="JY30" s="17">
        <v>22542</v>
      </c>
      <c r="JZ30" s="17">
        <v>22542</v>
      </c>
      <c r="KA30" s="17">
        <v>22542</v>
      </c>
      <c r="KB30" s="17">
        <v>23096</v>
      </c>
      <c r="KC30" s="17">
        <v>23096</v>
      </c>
      <c r="KD30" s="17">
        <v>23096</v>
      </c>
      <c r="KE30" s="17">
        <v>23096</v>
      </c>
      <c r="KF30" s="17">
        <v>23096</v>
      </c>
      <c r="KG30" s="17">
        <v>23096</v>
      </c>
      <c r="KH30" s="17">
        <v>23096</v>
      </c>
      <c r="KI30" s="17">
        <v>23570</v>
      </c>
      <c r="KJ30" s="17">
        <v>23570</v>
      </c>
      <c r="KK30" s="17">
        <v>23570</v>
      </c>
      <c r="KL30" s="17">
        <v>23570</v>
      </c>
      <c r="KM30" s="17">
        <v>23570</v>
      </c>
      <c r="KN30" s="17">
        <v>23570</v>
      </c>
      <c r="KO30" s="17">
        <v>23570</v>
      </c>
      <c r="KP30" s="17">
        <v>24123</v>
      </c>
      <c r="KQ30" s="17">
        <v>24123</v>
      </c>
      <c r="KR30" s="17">
        <v>24123</v>
      </c>
      <c r="KS30" s="17">
        <v>24123</v>
      </c>
      <c r="KT30" s="17">
        <v>24123</v>
      </c>
      <c r="KU30" s="17">
        <v>24123</v>
      </c>
      <c r="KV30" s="17">
        <v>24123</v>
      </c>
      <c r="KW30" s="17">
        <v>24678</v>
      </c>
      <c r="KX30" s="17">
        <v>24678</v>
      </c>
      <c r="KY30" s="17">
        <v>24678</v>
      </c>
      <c r="KZ30" s="17">
        <v>24678</v>
      </c>
      <c r="LA30" s="17">
        <v>24678</v>
      </c>
      <c r="LB30" s="17">
        <v>24678</v>
      </c>
      <c r="LC30" s="17">
        <v>24678</v>
      </c>
      <c r="LD30" s="17">
        <v>25065</v>
      </c>
      <c r="LE30" s="17">
        <v>25065</v>
      </c>
      <c r="LF30" s="17">
        <v>25065</v>
      </c>
      <c r="LG30" s="17">
        <v>25065</v>
      </c>
      <c r="LH30" s="17">
        <v>25065</v>
      </c>
      <c r="LI30" s="17">
        <v>25065</v>
      </c>
      <c r="LJ30" s="17">
        <v>25065</v>
      </c>
      <c r="LK30" s="17">
        <v>25457</v>
      </c>
      <c r="LL30" s="17">
        <v>25457</v>
      </c>
      <c r="LM30" s="17">
        <v>25457</v>
      </c>
      <c r="LN30" s="17">
        <v>25457</v>
      </c>
      <c r="LO30" s="17">
        <v>25457</v>
      </c>
      <c r="LP30" s="17">
        <v>25457</v>
      </c>
      <c r="LQ30" s="17">
        <v>25457</v>
      </c>
      <c r="LR30" s="17">
        <v>25843</v>
      </c>
      <c r="LS30" s="17">
        <v>25843</v>
      </c>
      <c r="LT30" s="17">
        <v>25843</v>
      </c>
      <c r="LU30" s="17">
        <v>25843</v>
      </c>
      <c r="LV30" s="17">
        <v>25843</v>
      </c>
      <c r="LW30" s="17">
        <v>25843</v>
      </c>
      <c r="LX30" s="17">
        <v>25843</v>
      </c>
      <c r="LY30" s="17">
        <v>26243</v>
      </c>
      <c r="LZ30" s="17">
        <v>26243</v>
      </c>
      <c r="MA30" s="17">
        <v>26243</v>
      </c>
      <c r="MB30" s="17">
        <v>26243</v>
      </c>
      <c r="MC30" s="17">
        <v>26243</v>
      </c>
      <c r="MD30" s="17">
        <v>26243</v>
      </c>
      <c r="ME30" s="17">
        <v>26243</v>
      </c>
      <c r="MF30" s="17">
        <v>26797</v>
      </c>
      <c r="MG30" s="17">
        <v>26797</v>
      </c>
      <c r="MH30" s="17">
        <v>26797</v>
      </c>
      <c r="MI30" s="17">
        <v>26797</v>
      </c>
      <c r="MJ30" s="17">
        <v>26797</v>
      </c>
      <c r="MK30" s="17">
        <v>26797</v>
      </c>
      <c r="ML30" s="17">
        <v>26797</v>
      </c>
      <c r="MM30" s="17">
        <v>27581</v>
      </c>
      <c r="MN30" s="17">
        <v>27581</v>
      </c>
      <c r="MO30" s="17">
        <v>27581</v>
      </c>
      <c r="MP30" s="17">
        <v>27581</v>
      </c>
      <c r="MQ30" s="17">
        <v>27581</v>
      </c>
      <c r="MR30" s="17">
        <v>27581</v>
      </c>
      <c r="MS30" s="17">
        <v>27581</v>
      </c>
      <c r="MT30" s="17">
        <v>28307</v>
      </c>
      <c r="MU30" s="17">
        <v>28307</v>
      </c>
      <c r="MV30" s="17">
        <v>28307</v>
      </c>
      <c r="MW30" s="17">
        <v>28307</v>
      </c>
      <c r="MX30" s="17">
        <v>28307</v>
      </c>
      <c r="MY30" s="17">
        <v>28307</v>
      </c>
      <c r="MZ30" s="17">
        <v>28307</v>
      </c>
      <c r="NA30" s="17">
        <v>29435</v>
      </c>
      <c r="NB30" s="17">
        <v>29435</v>
      </c>
      <c r="NC30" s="17">
        <v>29435</v>
      </c>
      <c r="ND30" s="17">
        <v>29435</v>
      </c>
      <c r="NE30" s="17">
        <v>29435</v>
      </c>
      <c r="NF30" s="17">
        <v>29435</v>
      </c>
      <c r="NG30" s="17">
        <v>29435</v>
      </c>
      <c r="NH30" s="17">
        <v>30722</v>
      </c>
      <c r="NI30" s="17">
        <v>30722</v>
      </c>
      <c r="NJ30" s="17">
        <v>30722</v>
      </c>
      <c r="NK30" s="17">
        <v>30722</v>
      </c>
      <c r="NL30" s="17">
        <v>30722</v>
      </c>
      <c r="NM30" s="17">
        <v>30722</v>
      </c>
      <c r="NN30" s="17">
        <v>30722</v>
      </c>
      <c r="NO30" s="17">
        <v>31862</v>
      </c>
      <c r="NP30" s="17">
        <v>31862</v>
      </c>
      <c r="NQ30" s="17">
        <v>31862</v>
      </c>
      <c r="NR30" s="17">
        <v>31862</v>
      </c>
      <c r="NS30" s="17">
        <v>31862</v>
      </c>
      <c r="NT30" s="17">
        <v>31862</v>
      </c>
      <c r="NU30" s="17">
        <v>31862</v>
      </c>
      <c r="NV30" s="17">
        <v>32937</v>
      </c>
      <c r="NW30" s="17">
        <v>32937</v>
      </c>
      <c r="NX30" s="17">
        <v>32937</v>
      </c>
      <c r="NY30" s="17">
        <v>32937</v>
      </c>
      <c r="NZ30" s="17">
        <v>32937</v>
      </c>
      <c r="OA30" s="17">
        <v>32937</v>
      </c>
      <c r="OB30" s="17">
        <v>32937</v>
      </c>
      <c r="OC30" s="17">
        <v>33532</v>
      </c>
      <c r="OD30" s="17">
        <v>33532</v>
      </c>
      <c r="OE30" s="17">
        <v>33532</v>
      </c>
      <c r="OF30" s="17">
        <v>33532</v>
      </c>
      <c r="OG30" s="17">
        <v>33532</v>
      </c>
      <c r="OH30" s="17">
        <v>33532</v>
      </c>
      <c r="OI30" s="17">
        <v>33532</v>
      </c>
      <c r="OJ30" s="17">
        <v>34127</v>
      </c>
      <c r="OK30" s="17">
        <v>34127</v>
      </c>
      <c r="OL30" s="17">
        <v>34127</v>
      </c>
      <c r="OM30" s="17">
        <v>34127</v>
      </c>
      <c r="ON30" s="17">
        <v>34127</v>
      </c>
      <c r="OO30" s="17">
        <v>34127</v>
      </c>
      <c r="OP30" s="17">
        <v>34127</v>
      </c>
      <c r="OQ30" s="17">
        <v>34722</v>
      </c>
      <c r="OR30" s="17">
        <v>34722</v>
      </c>
      <c r="OS30" s="17">
        <v>34722</v>
      </c>
      <c r="OT30" s="17">
        <v>34722</v>
      </c>
      <c r="OU30" s="17">
        <v>34722</v>
      </c>
      <c r="OV30" s="17">
        <v>34722</v>
      </c>
      <c r="OW30" s="17">
        <v>34722</v>
      </c>
      <c r="OX30" s="17">
        <v>35317</v>
      </c>
      <c r="OY30" s="17">
        <v>35317</v>
      </c>
      <c r="OZ30" s="17">
        <v>35317</v>
      </c>
      <c r="PA30" s="17">
        <v>35317</v>
      </c>
      <c r="PB30" s="17">
        <v>35317</v>
      </c>
      <c r="PC30" s="17">
        <v>35317</v>
      </c>
      <c r="PD30" s="17">
        <v>35317</v>
      </c>
      <c r="PE30" s="17">
        <v>35912</v>
      </c>
      <c r="PF30" s="17">
        <v>35912</v>
      </c>
      <c r="PG30" s="17">
        <v>35912</v>
      </c>
      <c r="PH30" s="17">
        <v>35912</v>
      </c>
      <c r="PI30" s="17">
        <v>35912</v>
      </c>
      <c r="PJ30" s="17">
        <v>35912</v>
      </c>
      <c r="PK30" s="17">
        <v>35912</v>
      </c>
      <c r="PL30" s="17">
        <v>35912</v>
      </c>
    </row>
    <row r="31" spans="1:428" s="12" customFormat="1" outlineLevel="1">
      <c r="A31" s="20" t="s">
        <v>19</v>
      </c>
      <c r="B31" s="12" t="s">
        <v>20</v>
      </c>
      <c r="C31" s="12" t="str">
        <f t="shared" si="21"/>
        <v>LensPanthos MCLASSIC HAVANA</v>
      </c>
      <c r="D31" s="12" t="s">
        <v>33</v>
      </c>
      <c r="E31" s="16" t="s">
        <v>14</v>
      </c>
      <c r="F31" s="13" t="s">
        <v>40</v>
      </c>
      <c r="G31" s="13" t="s">
        <v>2</v>
      </c>
      <c r="H31" s="14">
        <v>318003500482</v>
      </c>
      <c r="I31" s="13"/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0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0</v>
      </c>
      <c r="DW31" s="17">
        <v>0</v>
      </c>
      <c r="DX31" s="17">
        <v>0</v>
      </c>
      <c r="DY31" s="17">
        <v>0</v>
      </c>
      <c r="DZ31" s="17">
        <v>0</v>
      </c>
      <c r="EA31" s="17">
        <v>0</v>
      </c>
      <c r="EB31" s="17">
        <v>0</v>
      </c>
      <c r="EC31" s="17">
        <v>0</v>
      </c>
      <c r="ED31" s="17">
        <v>0</v>
      </c>
      <c r="EE31" s="17">
        <v>0</v>
      </c>
      <c r="EF31" s="17">
        <v>0</v>
      </c>
      <c r="EG31" s="17">
        <v>0</v>
      </c>
      <c r="EH31" s="17">
        <v>0</v>
      </c>
      <c r="EI31" s="17">
        <v>0</v>
      </c>
      <c r="EJ31" s="17">
        <v>0</v>
      </c>
      <c r="EK31" s="17">
        <v>0</v>
      </c>
      <c r="EL31" s="17">
        <v>0</v>
      </c>
      <c r="EM31" s="17">
        <v>0</v>
      </c>
      <c r="EN31" s="17">
        <v>0</v>
      </c>
      <c r="EO31" s="17">
        <v>0</v>
      </c>
      <c r="EP31" s="17">
        <v>0</v>
      </c>
      <c r="EQ31" s="17">
        <v>0</v>
      </c>
      <c r="ER31" s="17">
        <v>0</v>
      </c>
      <c r="ES31" s="17">
        <v>0</v>
      </c>
      <c r="ET31" s="17">
        <v>0</v>
      </c>
      <c r="EU31" s="17">
        <v>0</v>
      </c>
      <c r="EV31" s="17">
        <v>0</v>
      </c>
      <c r="EW31" s="17">
        <v>0</v>
      </c>
      <c r="EX31" s="17">
        <v>0</v>
      </c>
      <c r="EY31" s="17">
        <v>0</v>
      </c>
      <c r="EZ31" s="17">
        <v>0</v>
      </c>
      <c r="FA31" s="17">
        <v>0</v>
      </c>
      <c r="FB31" s="17">
        <v>0</v>
      </c>
      <c r="FC31" s="17">
        <v>0</v>
      </c>
      <c r="FD31" s="17">
        <v>0</v>
      </c>
      <c r="FE31" s="17">
        <v>0</v>
      </c>
      <c r="FF31" s="17">
        <v>0</v>
      </c>
      <c r="FG31" s="17">
        <v>0</v>
      </c>
      <c r="FH31" s="17">
        <v>0</v>
      </c>
      <c r="FI31" s="17">
        <v>0</v>
      </c>
      <c r="FJ31" s="17">
        <v>0</v>
      </c>
      <c r="FK31" s="17">
        <v>0</v>
      </c>
      <c r="FL31" s="17">
        <v>0</v>
      </c>
      <c r="FM31" s="17">
        <v>0</v>
      </c>
      <c r="FN31" s="17">
        <v>0</v>
      </c>
      <c r="FO31" s="17">
        <v>0</v>
      </c>
      <c r="FP31" s="17">
        <v>0</v>
      </c>
      <c r="FQ31" s="17">
        <v>0</v>
      </c>
      <c r="FR31" s="17">
        <v>0</v>
      </c>
      <c r="FS31" s="17">
        <v>0</v>
      </c>
      <c r="FT31" s="17">
        <v>0</v>
      </c>
      <c r="FU31" s="17">
        <v>0</v>
      </c>
      <c r="FV31" s="17">
        <v>0</v>
      </c>
      <c r="FW31" s="17">
        <v>0</v>
      </c>
      <c r="FX31" s="17">
        <v>0</v>
      </c>
      <c r="FY31" s="17">
        <v>0</v>
      </c>
      <c r="FZ31" s="17">
        <v>0</v>
      </c>
      <c r="GA31" s="17">
        <v>0</v>
      </c>
      <c r="GB31" s="17">
        <v>0</v>
      </c>
      <c r="GC31" s="17">
        <v>0</v>
      </c>
      <c r="GD31" s="17">
        <v>0</v>
      </c>
      <c r="GE31" s="17">
        <v>0</v>
      </c>
      <c r="GF31" s="17">
        <v>0</v>
      </c>
      <c r="GG31" s="17">
        <v>0</v>
      </c>
      <c r="GH31" s="17">
        <v>0</v>
      </c>
      <c r="GI31" s="17">
        <v>0</v>
      </c>
      <c r="GJ31" s="17">
        <v>0</v>
      </c>
      <c r="GK31" s="17">
        <v>0</v>
      </c>
      <c r="GL31" s="17">
        <v>0</v>
      </c>
      <c r="GM31" s="17">
        <v>256</v>
      </c>
      <c r="GN31" s="17">
        <v>534</v>
      </c>
      <c r="GO31" s="17">
        <v>830</v>
      </c>
      <c r="GP31" s="17">
        <v>830</v>
      </c>
      <c r="GQ31" s="17">
        <v>1126</v>
      </c>
      <c r="GR31" s="17">
        <v>1422</v>
      </c>
      <c r="GS31" s="17">
        <v>1737</v>
      </c>
      <c r="GT31" s="17">
        <v>2052</v>
      </c>
      <c r="GU31" s="17">
        <v>2367</v>
      </c>
      <c r="GV31" s="17">
        <v>2682</v>
      </c>
      <c r="GW31" s="17">
        <v>2682</v>
      </c>
      <c r="GX31" s="17">
        <v>2997</v>
      </c>
      <c r="GY31" s="17">
        <v>3312</v>
      </c>
      <c r="GZ31" s="17">
        <v>4257</v>
      </c>
      <c r="HA31" s="17">
        <v>5202</v>
      </c>
      <c r="HB31" s="17">
        <v>6147</v>
      </c>
      <c r="HC31" s="17">
        <v>7092</v>
      </c>
      <c r="HD31" s="17">
        <v>7092</v>
      </c>
      <c r="HE31" s="17">
        <v>8037</v>
      </c>
      <c r="HF31" s="17">
        <v>8037</v>
      </c>
      <c r="HG31" s="17">
        <v>8037</v>
      </c>
      <c r="HH31" s="17">
        <v>8037</v>
      </c>
      <c r="HI31" s="17">
        <v>8037</v>
      </c>
      <c r="HJ31" s="17">
        <v>8037</v>
      </c>
      <c r="HK31" s="17">
        <v>8037</v>
      </c>
      <c r="HL31" s="17">
        <v>10609</v>
      </c>
      <c r="HM31" s="17">
        <v>10609</v>
      </c>
      <c r="HN31" s="17">
        <v>10609</v>
      </c>
      <c r="HO31" s="17">
        <v>10609</v>
      </c>
      <c r="HP31" s="17">
        <v>10609</v>
      </c>
      <c r="HQ31" s="17">
        <v>11156</v>
      </c>
      <c r="HR31" s="17">
        <v>11156</v>
      </c>
      <c r="HS31" s="17">
        <v>11156</v>
      </c>
      <c r="HT31" s="17">
        <v>11156</v>
      </c>
      <c r="HU31" s="17">
        <v>11156</v>
      </c>
      <c r="HV31" s="17">
        <v>11156</v>
      </c>
      <c r="HW31" s="17">
        <v>11156</v>
      </c>
      <c r="HX31" s="17">
        <v>11271</v>
      </c>
      <c r="HY31" s="17">
        <v>11271</v>
      </c>
      <c r="HZ31" s="17">
        <v>11271</v>
      </c>
      <c r="IA31" s="17">
        <v>11271</v>
      </c>
      <c r="IB31" s="17">
        <v>11271</v>
      </c>
      <c r="IC31" s="17">
        <v>11271</v>
      </c>
      <c r="ID31" s="17">
        <v>11271</v>
      </c>
      <c r="IE31" s="17">
        <v>11372</v>
      </c>
      <c r="IF31" s="17">
        <v>11372</v>
      </c>
      <c r="IG31" s="17">
        <v>11372</v>
      </c>
      <c r="IH31" s="17">
        <v>11372</v>
      </c>
      <c r="II31" s="17">
        <v>11372</v>
      </c>
      <c r="IJ31" s="17">
        <v>11372</v>
      </c>
      <c r="IK31" s="17">
        <v>11372</v>
      </c>
      <c r="IL31" s="17">
        <v>11472</v>
      </c>
      <c r="IM31" s="17">
        <v>11472</v>
      </c>
      <c r="IN31" s="17">
        <v>11472</v>
      </c>
      <c r="IO31" s="17">
        <v>11472</v>
      </c>
      <c r="IP31" s="17">
        <v>11472</v>
      </c>
      <c r="IQ31" s="17">
        <v>11472</v>
      </c>
      <c r="IR31" s="17">
        <v>11472</v>
      </c>
      <c r="IS31" s="17">
        <v>11571</v>
      </c>
      <c r="IT31" s="17">
        <v>11571</v>
      </c>
      <c r="IU31" s="17">
        <v>11571</v>
      </c>
      <c r="IV31" s="17">
        <v>11571</v>
      </c>
      <c r="IW31" s="17">
        <v>11571</v>
      </c>
      <c r="IX31" s="17">
        <v>11571</v>
      </c>
      <c r="IY31" s="17">
        <v>11571</v>
      </c>
      <c r="IZ31" s="17">
        <v>11669</v>
      </c>
      <c r="JA31" s="17">
        <v>11669</v>
      </c>
      <c r="JB31" s="17">
        <v>11669</v>
      </c>
      <c r="JC31" s="17">
        <v>11669</v>
      </c>
      <c r="JD31" s="17">
        <v>11669</v>
      </c>
      <c r="JE31" s="17">
        <v>11669</v>
      </c>
      <c r="JF31" s="17">
        <v>11669</v>
      </c>
      <c r="JG31" s="17">
        <v>11766</v>
      </c>
      <c r="JH31" s="17">
        <v>11766</v>
      </c>
      <c r="JI31" s="17">
        <v>11766</v>
      </c>
      <c r="JJ31" s="17">
        <v>11766</v>
      </c>
      <c r="JK31" s="17">
        <v>11766</v>
      </c>
      <c r="JL31" s="17">
        <v>11766</v>
      </c>
      <c r="JM31" s="17">
        <v>11766</v>
      </c>
      <c r="JN31" s="17">
        <v>11973</v>
      </c>
      <c r="JO31" s="17">
        <v>11973</v>
      </c>
      <c r="JP31" s="17">
        <v>11973</v>
      </c>
      <c r="JQ31" s="17">
        <v>11973</v>
      </c>
      <c r="JR31" s="17">
        <v>11973</v>
      </c>
      <c r="JS31" s="17">
        <v>11973</v>
      </c>
      <c r="JT31" s="17">
        <v>11973</v>
      </c>
      <c r="JU31" s="17">
        <v>12403</v>
      </c>
      <c r="JV31" s="17">
        <v>12403</v>
      </c>
      <c r="JW31" s="17">
        <v>12403</v>
      </c>
      <c r="JX31" s="17">
        <v>12403</v>
      </c>
      <c r="JY31" s="17">
        <v>12403</v>
      </c>
      <c r="JZ31" s="17">
        <v>12403</v>
      </c>
      <c r="KA31" s="17">
        <v>12403</v>
      </c>
      <c r="KB31" s="17">
        <v>12724</v>
      </c>
      <c r="KC31" s="17">
        <v>12724</v>
      </c>
      <c r="KD31" s="17">
        <v>12724</v>
      </c>
      <c r="KE31" s="17">
        <v>12724</v>
      </c>
      <c r="KF31" s="17">
        <v>12724</v>
      </c>
      <c r="KG31" s="17">
        <v>12724</v>
      </c>
      <c r="KH31" s="17">
        <v>12724</v>
      </c>
      <c r="KI31" s="17">
        <v>12975</v>
      </c>
      <c r="KJ31" s="17">
        <v>12975</v>
      </c>
      <c r="KK31" s="17">
        <v>12975</v>
      </c>
      <c r="KL31" s="17">
        <v>12975</v>
      </c>
      <c r="KM31" s="17">
        <v>12975</v>
      </c>
      <c r="KN31" s="17">
        <v>12975</v>
      </c>
      <c r="KO31" s="17">
        <v>12975</v>
      </c>
      <c r="KP31" s="17">
        <v>13304</v>
      </c>
      <c r="KQ31" s="17">
        <v>13304</v>
      </c>
      <c r="KR31" s="17">
        <v>13304</v>
      </c>
      <c r="KS31" s="17">
        <v>13304</v>
      </c>
      <c r="KT31" s="17">
        <v>13304</v>
      </c>
      <c r="KU31" s="17">
        <v>13304</v>
      </c>
      <c r="KV31" s="17">
        <v>13304</v>
      </c>
      <c r="KW31" s="17">
        <v>13621</v>
      </c>
      <c r="KX31" s="17">
        <v>13621</v>
      </c>
      <c r="KY31" s="17">
        <v>13621</v>
      </c>
      <c r="KZ31" s="17">
        <v>13621</v>
      </c>
      <c r="LA31" s="17">
        <v>13621</v>
      </c>
      <c r="LB31" s="17">
        <v>13621</v>
      </c>
      <c r="LC31" s="17">
        <v>13621</v>
      </c>
      <c r="LD31" s="17">
        <v>13824</v>
      </c>
      <c r="LE31" s="17">
        <v>13824</v>
      </c>
      <c r="LF31" s="17">
        <v>13824</v>
      </c>
      <c r="LG31" s="17">
        <v>13824</v>
      </c>
      <c r="LH31" s="17">
        <v>13824</v>
      </c>
      <c r="LI31" s="17">
        <v>13824</v>
      </c>
      <c r="LJ31" s="17">
        <v>13824</v>
      </c>
      <c r="LK31" s="17">
        <v>14039</v>
      </c>
      <c r="LL31" s="17">
        <v>14039</v>
      </c>
      <c r="LM31" s="17">
        <v>14039</v>
      </c>
      <c r="LN31" s="17">
        <v>14039</v>
      </c>
      <c r="LO31" s="17">
        <v>14039</v>
      </c>
      <c r="LP31" s="17">
        <v>14039</v>
      </c>
      <c r="LQ31" s="17">
        <v>14039</v>
      </c>
      <c r="LR31" s="17">
        <v>14253</v>
      </c>
      <c r="LS31" s="17">
        <v>14253</v>
      </c>
      <c r="LT31" s="17">
        <v>14253</v>
      </c>
      <c r="LU31" s="17">
        <v>14253</v>
      </c>
      <c r="LV31" s="17">
        <v>14253</v>
      </c>
      <c r="LW31" s="17">
        <v>14253</v>
      </c>
      <c r="LX31" s="17">
        <v>14253</v>
      </c>
      <c r="LY31" s="17">
        <v>14482</v>
      </c>
      <c r="LZ31" s="17">
        <v>14482</v>
      </c>
      <c r="MA31" s="17">
        <v>14482</v>
      </c>
      <c r="MB31" s="17">
        <v>14482</v>
      </c>
      <c r="MC31" s="17">
        <v>14482</v>
      </c>
      <c r="MD31" s="17">
        <v>14482</v>
      </c>
      <c r="ME31" s="17">
        <v>14482</v>
      </c>
      <c r="MF31" s="17">
        <v>14807</v>
      </c>
      <c r="MG31" s="17">
        <v>14807</v>
      </c>
      <c r="MH31" s="17">
        <v>14807</v>
      </c>
      <c r="MI31" s="17">
        <v>14807</v>
      </c>
      <c r="MJ31" s="17">
        <v>14807</v>
      </c>
      <c r="MK31" s="17">
        <v>14807</v>
      </c>
      <c r="ML31" s="17">
        <v>14807</v>
      </c>
      <c r="MM31" s="17">
        <v>15250</v>
      </c>
      <c r="MN31" s="17">
        <v>15250</v>
      </c>
      <c r="MO31" s="17">
        <v>15250</v>
      </c>
      <c r="MP31" s="17">
        <v>15250</v>
      </c>
      <c r="MQ31" s="17">
        <v>15250</v>
      </c>
      <c r="MR31" s="17">
        <v>15250</v>
      </c>
      <c r="MS31" s="17">
        <v>15250</v>
      </c>
      <c r="MT31" s="17">
        <v>15632</v>
      </c>
      <c r="MU31" s="17">
        <v>15632</v>
      </c>
      <c r="MV31" s="17">
        <v>15632</v>
      </c>
      <c r="MW31" s="17">
        <v>15632</v>
      </c>
      <c r="MX31" s="17">
        <v>15632</v>
      </c>
      <c r="MY31" s="17">
        <v>15632</v>
      </c>
      <c r="MZ31" s="17">
        <v>15632</v>
      </c>
      <c r="NA31" s="17">
        <v>16234</v>
      </c>
      <c r="NB31" s="17">
        <v>16234</v>
      </c>
      <c r="NC31" s="17">
        <v>16234</v>
      </c>
      <c r="ND31" s="17">
        <v>16234</v>
      </c>
      <c r="NE31" s="17">
        <v>16234</v>
      </c>
      <c r="NF31" s="17">
        <v>16234</v>
      </c>
      <c r="NG31" s="17">
        <v>16234</v>
      </c>
      <c r="NH31" s="17">
        <v>16928</v>
      </c>
      <c r="NI31" s="17">
        <v>16928</v>
      </c>
      <c r="NJ31" s="17">
        <v>16928</v>
      </c>
      <c r="NK31" s="17">
        <v>16928</v>
      </c>
      <c r="NL31" s="17">
        <v>16928</v>
      </c>
      <c r="NM31" s="17">
        <v>16928</v>
      </c>
      <c r="NN31" s="17">
        <v>16928</v>
      </c>
      <c r="NO31" s="17">
        <v>17543</v>
      </c>
      <c r="NP31" s="17">
        <v>17543</v>
      </c>
      <c r="NQ31" s="17">
        <v>17543</v>
      </c>
      <c r="NR31" s="17">
        <v>17543</v>
      </c>
      <c r="NS31" s="17">
        <v>17543</v>
      </c>
      <c r="NT31" s="17">
        <v>17543</v>
      </c>
      <c r="NU31" s="17">
        <v>17543</v>
      </c>
      <c r="NV31" s="17">
        <v>18134</v>
      </c>
      <c r="NW31" s="17">
        <v>18134</v>
      </c>
      <c r="NX31" s="17">
        <v>18134</v>
      </c>
      <c r="NY31" s="17">
        <v>18134</v>
      </c>
      <c r="NZ31" s="17">
        <v>18134</v>
      </c>
      <c r="OA31" s="17">
        <v>18134</v>
      </c>
      <c r="OB31" s="17">
        <v>18134</v>
      </c>
      <c r="OC31" s="17">
        <v>18462</v>
      </c>
      <c r="OD31" s="17">
        <v>18462</v>
      </c>
      <c r="OE31" s="17">
        <v>18462</v>
      </c>
      <c r="OF31" s="17">
        <v>18462</v>
      </c>
      <c r="OG31" s="17">
        <v>18462</v>
      </c>
      <c r="OH31" s="17">
        <v>18462</v>
      </c>
      <c r="OI31" s="17">
        <v>18462</v>
      </c>
      <c r="OJ31" s="17">
        <v>18790</v>
      </c>
      <c r="OK31" s="17">
        <v>18790</v>
      </c>
      <c r="OL31" s="17">
        <v>18790</v>
      </c>
      <c r="OM31" s="17">
        <v>18790</v>
      </c>
      <c r="ON31" s="17">
        <v>18790</v>
      </c>
      <c r="OO31" s="17">
        <v>18790</v>
      </c>
      <c r="OP31" s="17">
        <v>18790</v>
      </c>
      <c r="OQ31" s="17">
        <v>19118</v>
      </c>
      <c r="OR31" s="17">
        <v>19118</v>
      </c>
      <c r="OS31" s="17">
        <v>19118</v>
      </c>
      <c r="OT31" s="17">
        <v>19118</v>
      </c>
      <c r="OU31" s="17">
        <v>19118</v>
      </c>
      <c r="OV31" s="17">
        <v>19118</v>
      </c>
      <c r="OW31" s="17">
        <v>19118</v>
      </c>
      <c r="OX31" s="17">
        <v>19446</v>
      </c>
      <c r="OY31" s="17">
        <v>19446</v>
      </c>
      <c r="OZ31" s="17">
        <v>19446</v>
      </c>
      <c r="PA31" s="17">
        <v>19446</v>
      </c>
      <c r="PB31" s="17">
        <v>19446</v>
      </c>
      <c r="PC31" s="17">
        <v>19446</v>
      </c>
      <c r="PD31" s="17">
        <v>19446</v>
      </c>
      <c r="PE31" s="17">
        <v>19774</v>
      </c>
      <c r="PF31" s="17">
        <v>19774</v>
      </c>
      <c r="PG31" s="17">
        <v>19774</v>
      </c>
      <c r="PH31" s="17">
        <v>19774</v>
      </c>
      <c r="PI31" s="17">
        <v>19774</v>
      </c>
      <c r="PJ31" s="17">
        <v>19774</v>
      </c>
      <c r="PK31" s="17">
        <v>19774</v>
      </c>
      <c r="PL31" s="17">
        <v>19774</v>
      </c>
    </row>
    <row r="32" spans="1:428" s="12" customFormat="1" outlineLevel="1">
      <c r="A32" s="20" t="s">
        <v>19</v>
      </c>
      <c r="B32" s="12" t="s">
        <v>20</v>
      </c>
      <c r="C32" s="12" t="str">
        <f t="shared" si="21"/>
        <v>LensPanthos MSage</v>
      </c>
      <c r="D32" s="12" t="s">
        <v>33</v>
      </c>
      <c r="E32" s="16" t="s">
        <v>14</v>
      </c>
      <c r="F32" s="13" t="s">
        <v>40</v>
      </c>
      <c r="G32" s="13" t="s">
        <v>32</v>
      </c>
      <c r="H32" s="14">
        <v>318003500692</v>
      </c>
      <c r="I32" s="13"/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7">
        <v>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0</v>
      </c>
      <c r="EB32" s="17">
        <v>0</v>
      </c>
      <c r="EC32" s="17">
        <v>0</v>
      </c>
      <c r="ED32" s="17">
        <v>0</v>
      </c>
      <c r="EE32" s="17">
        <v>0</v>
      </c>
      <c r="EF32" s="17">
        <v>0</v>
      </c>
      <c r="EG32" s="17">
        <v>0</v>
      </c>
      <c r="EH32" s="17">
        <v>0</v>
      </c>
      <c r="EI32" s="17">
        <v>0</v>
      </c>
      <c r="EJ32" s="17">
        <v>0</v>
      </c>
      <c r="EK32" s="17">
        <v>0</v>
      </c>
      <c r="EL32" s="17">
        <v>0</v>
      </c>
      <c r="EM32" s="17">
        <v>0</v>
      </c>
      <c r="EN32" s="17">
        <v>0</v>
      </c>
      <c r="EO32" s="17">
        <v>0</v>
      </c>
      <c r="EP32" s="17">
        <v>0</v>
      </c>
      <c r="EQ32" s="17">
        <v>0</v>
      </c>
      <c r="ER32" s="17">
        <v>0</v>
      </c>
      <c r="ES32" s="17">
        <v>0</v>
      </c>
      <c r="ET32" s="17">
        <v>0</v>
      </c>
      <c r="EU32" s="17">
        <v>0</v>
      </c>
      <c r="EV32" s="17">
        <v>0</v>
      </c>
      <c r="EW32" s="17">
        <v>0</v>
      </c>
      <c r="EX32" s="17">
        <v>0</v>
      </c>
      <c r="EY32" s="17">
        <v>0</v>
      </c>
      <c r="EZ32" s="17">
        <v>0</v>
      </c>
      <c r="FA32" s="17">
        <v>0</v>
      </c>
      <c r="FB32" s="17">
        <v>0</v>
      </c>
      <c r="FC32" s="17">
        <v>0</v>
      </c>
      <c r="FD32" s="17">
        <v>0</v>
      </c>
      <c r="FE32" s="17">
        <v>0</v>
      </c>
      <c r="FF32" s="17">
        <v>0</v>
      </c>
      <c r="FG32" s="17">
        <v>0</v>
      </c>
      <c r="FH32" s="17">
        <v>0</v>
      </c>
      <c r="FI32" s="17">
        <v>0</v>
      </c>
      <c r="FJ32" s="17">
        <v>0</v>
      </c>
      <c r="FK32" s="17">
        <v>0</v>
      </c>
      <c r="FL32" s="17">
        <v>0</v>
      </c>
      <c r="FM32" s="17">
        <v>0</v>
      </c>
      <c r="FN32" s="17">
        <v>0</v>
      </c>
      <c r="FO32" s="17">
        <v>0</v>
      </c>
      <c r="FP32" s="17">
        <v>0</v>
      </c>
      <c r="FQ32" s="17">
        <v>0</v>
      </c>
      <c r="FR32" s="17">
        <v>0</v>
      </c>
      <c r="FS32" s="17">
        <v>0</v>
      </c>
      <c r="FT32" s="17">
        <v>0</v>
      </c>
      <c r="FU32" s="17">
        <v>0</v>
      </c>
      <c r="FV32" s="17">
        <v>0</v>
      </c>
      <c r="FW32" s="17">
        <v>0</v>
      </c>
      <c r="FX32" s="17">
        <v>0</v>
      </c>
      <c r="FY32" s="17">
        <v>0</v>
      </c>
      <c r="FZ32" s="17">
        <v>0</v>
      </c>
      <c r="GA32" s="17">
        <v>0</v>
      </c>
      <c r="GB32" s="17">
        <v>0</v>
      </c>
      <c r="GC32" s="17">
        <v>0</v>
      </c>
      <c r="GD32" s="17">
        <v>0</v>
      </c>
      <c r="GE32" s="17">
        <v>839</v>
      </c>
      <c r="GF32" s="17">
        <v>839</v>
      </c>
      <c r="GG32" s="17">
        <v>839</v>
      </c>
      <c r="GH32" s="17">
        <v>912</v>
      </c>
      <c r="GI32" s="17">
        <v>912</v>
      </c>
      <c r="GJ32" s="17">
        <v>912</v>
      </c>
      <c r="GK32" s="17">
        <v>912</v>
      </c>
      <c r="GL32" s="17">
        <v>912</v>
      </c>
      <c r="GM32" s="17">
        <v>912</v>
      </c>
      <c r="GN32" s="17">
        <v>912</v>
      </c>
      <c r="GO32" s="17">
        <v>974</v>
      </c>
      <c r="GP32" s="17">
        <v>974</v>
      </c>
      <c r="GQ32" s="17">
        <v>974</v>
      </c>
      <c r="GR32" s="17">
        <v>974</v>
      </c>
      <c r="GS32" s="17">
        <v>974</v>
      </c>
      <c r="GT32" s="17">
        <v>974</v>
      </c>
      <c r="GU32" s="17">
        <v>974</v>
      </c>
      <c r="GV32" s="17">
        <v>1056</v>
      </c>
      <c r="GW32" s="17">
        <v>1056</v>
      </c>
      <c r="GX32" s="17">
        <v>1056</v>
      </c>
      <c r="GY32" s="17">
        <v>1056</v>
      </c>
      <c r="GZ32" s="17">
        <v>1056</v>
      </c>
      <c r="HA32" s="17">
        <v>1056</v>
      </c>
      <c r="HB32" s="17">
        <v>1056</v>
      </c>
      <c r="HC32" s="17">
        <v>1195</v>
      </c>
      <c r="HD32" s="17">
        <v>1195</v>
      </c>
      <c r="HE32" s="17">
        <v>1195</v>
      </c>
      <c r="HF32" s="17">
        <v>1195</v>
      </c>
      <c r="HG32" s="17">
        <v>1195</v>
      </c>
      <c r="HH32" s="17">
        <v>1195</v>
      </c>
      <c r="HI32" s="17">
        <v>1195</v>
      </c>
      <c r="HJ32" s="17">
        <v>1341</v>
      </c>
      <c r="HK32" s="17">
        <v>1341</v>
      </c>
      <c r="HL32" s="17">
        <v>1341</v>
      </c>
      <c r="HM32" s="17">
        <v>1341</v>
      </c>
      <c r="HN32" s="17">
        <v>1341</v>
      </c>
      <c r="HO32" s="17">
        <v>1341</v>
      </c>
      <c r="HP32" s="17">
        <v>1341</v>
      </c>
      <c r="HQ32" s="17">
        <v>1459</v>
      </c>
      <c r="HR32" s="17">
        <v>1459</v>
      </c>
      <c r="HS32" s="17">
        <v>1459</v>
      </c>
      <c r="HT32" s="17">
        <v>1459</v>
      </c>
      <c r="HU32" s="17">
        <v>1459</v>
      </c>
      <c r="HV32" s="17">
        <v>1459</v>
      </c>
      <c r="HW32" s="17">
        <v>1459</v>
      </c>
      <c r="HX32" s="17">
        <v>1481</v>
      </c>
      <c r="HY32" s="17">
        <v>1481</v>
      </c>
      <c r="HZ32" s="17">
        <v>1481</v>
      </c>
      <c r="IA32" s="17">
        <v>1481</v>
      </c>
      <c r="IB32" s="17">
        <v>1481</v>
      </c>
      <c r="IC32" s="17">
        <v>1481</v>
      </c>
      <c r="ID32" s="17">
        <v>1481</v>
      </c>
      <c r="IE32" s="17">
        <v>1490</v>
      </c>
      <c r="IF32" s="17">
        <v>1490</v>
      </c>
      <c r="IG32" s="17">
        <v>1490</v>
      </c>
      <c r="IH32" s="17">
        <v>1490</v>
      </c>
      <c r="II32" s="17">
        <v>1490</v>
      </c>
      <c r="IJ32" s="17">
        <v>1490</v>
      </c>
      <c r="IK32" s="17">
        <v>1490</v>
      </c>
      <c r="IL32" s="17">
        <v>1499</v>
      </c>
      <c r="IM32" s="17">
        <v>1499</v>
      </c>
      <c r="IN32" s="17">
        <v>1499</v>
      </c>
      <c r="IO32" s="17">
        <v>1499</v>
      </c>
      <c r="IP32" s="17">
        <v>1499</v>
      </c>
      <c r="IQ32" s="17">
        <v>1499</v>
      </c>
      <c r="IR32" s="17">
        <v>1499</v>
      </c>
      <c r="IS32" s="17">
        <v>1510</v>
      </c>
      <c r="IT32" s="17">
        <v>1510</v>
      </c>
      <c r="IU32" s="17">
        <v>1510</v>
      </c>
      <c r="IV32" s="17">
        <v>1510</v>
      </c>
      <c r="IW32" s="17">
        <v>1510</v>
      </c>
      <c r="IX32" s="17">
        <v>1510</v>
      </c>
      <c r="IY32" s="17">
        <v>1510</v>
      </c>
      <c r="IZ32" s="17">
        <v>1522</v>
      </c>
      <c r="JA32" s="17">
        <v>1522</v>
      </c>
      <c r="JB32" s="17">
        <v>1522</v>
      </c>
      <c r="JC32" s="17">
        <v>1522</v>
      </c>
      <c r="JD32" s="17">
        <v>1522</v>
      </c>
      <c r="JE32" s="17">
        <v>1522</v>
      </c>
      <c r="JF32" s="17">
        <v>1522</v>
      </c>
      <c r="JG32" s="17">
        <v>1535</v>
      </c>
      <c r="JH32" s="17">
        <v>1535</v>
      </c>
      <c r="JI32" s="17">
        <v>1535</v>
      </c>
      <c r="JJ32" s="17">
        <v>1535</v>
      </c>
      <c r="JK32" s="17">
        <v>1535</v>
      </c>
      <c r="JL32" s="17">
        <v>1535</v>
      </c>
      <c r="JM32" s="17">
        <v>1535</v>
      </c>
      <c r="JN32" s="17">
        <v>1616</v>
      </c>
      <c r="JO32" s="17">
        <v>1616</v>
      </c>
      <c r="JP32" s="17">
        <v>1616</v>
      </c>
      <c r="JQ32" s="17">
        <v>1616</v>
      </c>
      <c r="JR32" s="17">
        <v>1616</v>
      </c>
      <c r="JS32" s="17">
        <v>1616</v>
      </c>
      <c r="JT32" s="17">
        <v>1616</v>
      </c>
      <c r="JU32" s="17">
        <v>1782</v>
      </c>
      <c r="JV32" s="17">
        <v>1782</v>
      </c>
      <c r="JW32" s="17">
        <v>1782</v>
      </c>
      <c r="JX32" s="17">
        <v>1782</v>
      </c>
      <c r="JY32" s="17">
        <v>1782</v>
      </c>
      <c r="JZ32" s="17">
        <v>1782</v>
      </c>
      <c r="KA32" s="17">
        <v>1782</v>
      </c>
      <c r="KB32" s="17">
        <v>1860</v>
      </c>
      <c r="KC32" s="17">
        <v>1860</v>
      </c>
      <c r="KD32" s="17">
        <v>1860</v>
      </c>
      <c r="KE32" s="17">
        <v>1860</v>
      </c>
      <c r="KF32" s="17">
        <v>1860</v>
      </c>
      <c r="KG32" s="17">
        <v>1860</v>
      </c>
      <c r="KH32" s="17">
        <v>1860</v>
      </c>
      <c r="KI32" s="17">
        <v>1899</v>
      </c>
      <c r="KJ32" s="17">
        <v>1899</v>
      </c>
      <c r="KK32" s="17">
        <v>1899</v>
      </c>
      <c r="KL32" s="17">
        <v>1899</v>
      </c>
      <c r="KM32" s="17">
        <v>1899</v>
      </c>
      <c r="KN32" s="17">
        <v>1899</v>
      </c>
      <c r="KO32" s="17">
        <v>1899</v>
      </c>
      <c r="KP32" s="17">
        <v>1992</v>
      </c>
      <c r="KQ32" s="17">
        <v>1992</v>
      </c>
      <c r="KR32" s="17">
        <v>1992</v>
      </c>
      <c r="KS32" s="17">
        <v>1992</v>
      </c>
      <c r="KT32" s="17">
        <v>1992</v>
      </c>
      <c r="KU32" s="17">
        <v>1992</v>
      </c>
      <c r="KV32" s="17">
        <v>1992</v>
      </c>
      <c r="KW32" s="17">
        <v>2059</v>
      </c>
      <c r="KX32" s="17">
        <v>2059</v>
      </c>
      <c r="KY32" s="17">
        <v>2059</v>
      </c>
      <c r="KZ32" s="17">
        <v>2059</v>
      </c>
      <c r="LA32" s="17">
        <v>2059</v>
      </c>
      <c r="LB32" s="17">
        <v>2059</v>
      </c>
      <c r="LC32" s="17">
        <v>2059</v>
      </c>
      <c r="LD32" s="17">
        <v>2099</v>
      </c>
      <c r="LE32" s="17">
        <v>2099</v>
      </c>
      <c r="LF32" s="17">
        <v>2099</v>
      </c>
      <c r="LG32" s="17">
        <v>2099</v>
      </c>
      <c r="LH32" s="17">
        <v>2099</v>
      </c>
      <c r="LI32" s="17">
        <v>2099</v>
      </c>
      <c r="LJ32" s="17">
        <v>2099</v>
      </c>
      <c r="LK32" s="17">
        <v>2147</v>
      </c>
      <c r="LL32" s="17">
        <v>2147</v>
      </c>
      <c r="LM32" s="17">
        <v>2147</v>
      </c>
      <c r="LN32" s="17">
        <v>2147</v>
      </c>
      <c r="LO32" s="17">
        <v>2147</v>
      </c>
      <c r="LP32" s="17">
        <v>2147</v>
      </c>
      <c r="LQ32" s="17">
        <v>2147</v>
      </c>
      <c r="LR32" s="17">
        <v>2203</v>
      </c>
      <c r="LS32" s="17">
        <v>2203</v>
      </c>
      <c r="LT32" s="17">
        <v>2203</v>
      </c>
      <c r="LU32" s="17">
        <v>2203</v>
      </c>
      <c r="LV32" s="17">
        <v>2203</v>
      </c>
      <c r="LW32" s="17">
        <v>2203</v>
      </c>
      <c r="LX32" s="17">
        <v>2203</v>
      </c>
      <c r="LY32" s="17">
        <v>2258</v>
      </c>
      <c r="LZ32" s="17">
        <v>2258</v>
      </c>
      <c r="MA32" s="17">
        <v>2258</v>
      </c>
      <c r="MB32" s="17">
        <v>2258</v>
      </c>
      <c r="MC32" s="17">
        <v>2258</v>
      </c>
      <c r="MD32" s="17">
        <v>2258</v>
      </c>
      <c r="ME32" s="17">
        <v>2258</v>
      </c>
      <c r="MF32" s="17">
        <v>2333</v>
      </c>
      <c r="MG32" s="17">
        <v>2333</v>
      </c>
      <c r="MH32" s="17">
        <v>2333</v>
      </c>
      <c r="MI32" s="17">
        <v>2333</v>
      </c>
      <c r="MJ32" s="17">
        <v>2333</v>
      </c>
      <c r="MK32" s="17">
        <v>2333</v>
      </c>
      <c r="ML32" s="17">
        <v>2333</v>
      </c>
      <c r="MM32" s="17">
        <v>2416</v>
      </c>
      <c r="MN32" s="17">
        <v>2416</v>
      </c>
      <c r="MO32" s="17">
        <v>2416</v>
      </c>
      <c r="MP32" s="17">
        <v>2416</v>
      </c>
      <c r="MQ32" s="17">
        <v>2416</v>
      </c>
      <c r="MR32" s="17">
        <v>2416</v>
      </c>
      <c r="MS32" s="17">
        <v>2416</v>
      </c>
      <c r="MT32" s="17">
        <v>2481</v>
      </c>
      <c r="MU32" s="17">
        <v>2481</v>
      </c>
      <c r="MV32" s="17">
        <v>2481</v>
      </c>
      <c r="MW32" s="17">
        <v>2481</v>
      </c>
      <c r="MX32" s="17">
        <v>2481</v>
      </c>
      <c r="MY32" s="17">
        <v>2481</v>
      </c>
      <c r="MZ32" s="17">
        <v>2481</v>
      </c>
      <c r="NA32" s="17">
        <v>2621</v>
      </c>
      <c r="NB32" s="17">
        <v>2621</v>
      </c>
      <c r="NC32" s="17">
        <v>2621</v>
      </c>
      <c r="ND32" s="17">
        <v>2621</v>
      </c>
      <c r="NE32" s="17">
        <v>2621</v>
      </c>
      <c r="NF32" s="17">
        <v>2621</v>
      </c>
      <c r="NG32" s="17">
        <v>2621</v>
      </c>
      <c r="NH32" s="17">
        <v>2765</v>
      </c>
      <c r="NI32" s="17">
        <v>2765</v>
      </c>
      <c r="NJ32" s="17">
        <v>2765</v>
      </c>
      <c r="NK32" s="17">
        <v>2765</v>
      </c>
      <c r="NL32" s="17">
        <v>2765</v>
      </c>
      <c r="NM32" s="17">
        <v>2765</v>
      </c>
      <c r="NN32" s="17">
        <v>2765</v>
      </c>
      <c r="NO32" s="17">
        <v>2872</v>
      </c>
      <c r="NP32" s="17">
        <v>2872</v>
      </c>
      <c r="NQ32" s="17">
        <v>2872</v>
      </c>
      <c r="NR32" s="17">
        <v>2872</v>
      </c>
      <c r="NS32" s="17">
        <v>2872</v>
      </c>
      <c r="NT32" s="17">
        <v>2872</v>
      </c>
      <c r="NU32" s="17">
        <v>2872</v>
      </c>
      <c r="NV32" s="17">
        <v>2969</v>
      </c>
      <c r="NW32" s="17">
        <v>2969</v>
      </c>
      <c r="NX32" s="17">
        <v>2969</v>
      </c>
      <c r="NY32" s="17">
        <v>2969</v>
      </c>
      <c r="NZ32" s="17">
        <v>2969</v>
      </c>
      <c r="OA32" s="17">
        <v>2969</v>
      </c>
      <c r="OB32" s="17">
        <v>2969</v>
      </c>
      <c r="OC32" s="17">
        <v>3023</v>
      </c>
      <c r="OD32" s="17">
        <v>3023</v>
      </c>
      <c r="OE32" s="17">
        <v>3023</v>
      </c>
      <c r="OF32" s="17">
        <v>3023</v>
      </c>
      <c r="OG32" s="17">
        <v>3023</v>
      </c>
      <c r="OH32" s="17">
        <v>3023</v>
      </c>
      <c r="OI32" s="17">
        <v>3023</v>
      </c>
      <c r="OJ32" s="17">
        <v>3077</v>
      </c>
      <c r="OK32" s="17">
        <v>3077</v>
      </c>
      <c r="OL32" s="17">
        <v>3077</v>
      </c>
      <c r="OM32" s="17">
        <v>3077</v>
      </c>
      <c r="ON32" s="17">
        <v>3077</v>
      </c>
      <c r="OO32" s="17">
        <v>3077</v>
      </c>
      <c r="OP32" s="17">
        <v>3077</v>
      </c>
      <c r="OQ32" s="17">
        <v>3131</v>
      </c>
      <c r="OR32" s="17">
        <v>3131</v>
      </c>
      <c r="OS32" s="17">
        <v>3131</v>
      </c>
      <c r="OT32" s="17">
        <v>3131</v>
      </c>
      <c r="OU32" s="17">
        <v>3131</v>
      </c>
      <c r="OV32" s="17">
        <v>3131</v>
      </c>
      <c r="OW32" s="17">
        <v>3131</v>
      </c>
      <c r="OX32" s="17">
        <v>3185</v>
      </c>
      <c r="OY32" s="17">
        <v>3185</v>
      </c>
      <c r="OZ32" s="17">
        <v>3185</v>
      </c>
      <c r="PA32" s="17">
        <v>3185</v>
      </c>
      <c r="PB32" s="17">
        <v>3185</v>
      </c>
      <c r="PC32" s="17">
        <v>3185</v>
      </c>
      <c r="PD32" s="17">
        <v>3185</v>
      </c>
      <c r="PE32" s="17">
        <v>3239</v>
      </c>
      <c r="PF32" s="17">
        <v>3239</v>
      </c>
      <c r="PG32" s="17">
        <v>3239</v>
      </c>
      <c r="PH32" s="17">
        <v>3239</v>
      </c>
      <c r="PI32" s="17">
        <v>3239</v>
      </c>
      <c r="PJ32" s="17">
        <v>3239</v>
      </c>
      <c r="PK32" s="17">
        <v>3239</v>
      </c>
      <c r="PL32" s="17">
        <v>3239</v>
      </c>
    </row>
    <row r="33" spans="1:428" s="12" customFormat="1" outlineLevel="1">
      <c r="A33" s="20" t="s">
        <v>19</v>
      </c>
      <c r="B33" s="12" t="s">
        <v>20</v>
      </c>
      <c r="C33" s="12" t="str">
        <f t="shared" si="21"/>
        <v>LensPanthos MSANDSTORM</v>
      </c>
      <c r="D33" s="12" t="s">
        <v>33</v>
      </c>
      <c r="E33" s="16" t="s">
        <v>14</v>
      </c>
      <c r="F33" s="13" t="s">
        <v>40</v>
      </c>
      <c r="G33" s="13" t="s">
        <v>9</v>
      </c>
      <c r="H33" s="14">
        <v>318003500482</v>
      </c>
      <c r="I33" s="13"/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0</v>
      </c>
      <c r="DE33" s="17">
        <v>0</v>
      </c>
      <c r="DF33" s="17">
        <v>0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0</v>
      </c>
      <c r="DW33" s="17">
        <v>0</v>
      </c>
      <c r="DX33" s="17">
        <v>0</v>
      </c>
      <c r="DY33" s="17">
        <v>0</v>
      </c>
      <c r="DZ33" s="17">
        <v>0</v>
      </c>
      <c r="EA33" s="17">
        <v>0</v>
      </c>
      <c r="EB33" s="17">
        <v>0</v>
      </c>
      <c r="EC33" s="17">
        <v>0</v>
      </c>
      <c r="ED33" s="17">
        <v>0</v>
      </c>
      <c r="EE33" s="17">
        <v>0</v>
      </c>
      <c r="EF33" s="17">
        <v>0</v>
      </c>
      <c r="EG33" s="17">
        <v>0</v>
      </c>
      <c r="EH33" s="17">
        <v>0</v>
      </c>
      <c r="EI33" s="17">
        <v>0</v>
      </c>
      <c r="EJ33" s="17">
        <v>0</v>
      </c>
      <c r="EK33" s="17">
        <v>0</v>
      </c>
      <c r="EL33" s="17">
        <v>0</v>
      </c>
      <c r="EM33" s="17">
        <v>0</v>
      </c>
      <c r="EN33" s="17">
        <v>0</v>
      </c>
      <c r="EO33" s="17">
        <v>0</v>
      </c>
      <c r="EP33" s="17">
        <v>0</v>
      </c>
      <c r="EQ33" s="17">
        <v>0</v>
      </c>
      <c r="ER33" s="17">
        <v>0</v>
      </c>
      <c r="ES33" s="17">
        <v>0</v>
      </c>
      <c r="ET33" s="17">
        <v>0</v>
      </c>
      <c r="EU33" s="17">
        <v>0</v>
      </c>
      <c r="EV33" s="17">
        <v>0</v>
      </c>
      <c r="EW33" s="17">
        <v>0</v>
      </c>
      <c r="EX33" s="17">
        <v>0</v>
      </c>
      <c r="EY33" s="17">
        <v>0</v>
      </c>
      <c r="EZ33" s="17">
        <v>0</v>
      </c>
      <c r="FA33" s="17">
        <v>0</v>
      </c>
      <c r="FB33" s="17">
        <v>0</v>
      </c>
      <c r="FC33" s="17">
        <v>0</v>
      </c>
      <c r="FD33" s="17">
        <v>0</v>
      </c>
      <c r="FE33" s="17">
        <v>0</v>
      </c>
      <c r="FF33" s="17">
        <v>0</v>
      </c>
      <c r="FG33" s="17">
        <v>0</v>
      </c>
      <c r="FH33" s="17">
        <v>0</v>
      </c>
      <c r="FI33" s="17">
        <v>0</v>
      </c>
      <c r="FJ33" s="17">
        <v>0</v>
      </c>
      <c r="FK33" s="17">
        <v>0</v>
      </c>
      <c r="FL33" s="17">
        <v>240</v>
      </c>
      <c r="FM33" s="17">
        <v>2339</v>
      </c>
      <c r="FN33" s="17">
        <v>2339</v>
      </c>
      <c r="FO33" s="17">
        <v>7796</v>
      </c>
      <c r="FP33" s="17">
        <v>11154</v>
      </c>
      <c r="FQ33" s="17">
        <v>14932</v>
      </c>
      <c r="FR33" s="17">
        <v>15821</v>
      </c>
      <c r="FS33" s="17">
        <v>15821</v>
      </c>
      <c r="FT33" s="17">
        <v>15821</v>
      </c>
      <c r="FU33" s="17">
        <v>15821</v>
      </c>
      <c r="FV33" s="17">
        <v>15821</v>
      </c>
      <c r="FW33" s="17">
        <v>15821</v>
      </c>
      <c r="FX33" s="17">
        <v>15821</v>
      </c>
      <c r="FY33" s="17">
        <v>15821</v>
      </c>
      <c r="FZ33" s="17">
        <v>15821</v>
      </c>
      <c r="GA33" s="17">
        <v>15821</v>
      </c>
      <c r="GB33" s="17">
        <v>15821</v>
      </c>
      <c r="GC33" s="17">
        <v>15821</v>
      </c>
      <c r="GD33" s="17">
        <v>15821</v>
      </c>
      <c r="GE33" s="17">
        <v>15821</v>
      </c>
      <c r="GF33" s="17">
        <v>17121</v>
      </c>
      <c r="GG33" s="17">
        <v>17121</v>
      </c>
      <c r="GH33" s="17">
        <v>21319</v>
      </c>
      <c r="GI33" s="17">
        <v>21319</v>
      </c>
      <c r="GJ33" s="17">
        <v>29715</v>
      </c>
      <c r="GK33" s="17">
        <v>33913</v>
      </c>
      <c r="GL33" s="17">
        <v>38111</v>
      </c>
      <c r="GM33" s="17">
        <v>42309</v>
      </c>
      <c r="GN33" s="17">
        <v>42309</v>
      </c>
      <c r="GO33" s="17">
        <v>46507</v>
      </c>
      <c r="GP33" s="17">
        <v>46507</v>
      </c>
      <c r="GQ33" s="17">
        <v>54903</v>
      </c>
      <c r="GR33" s="17">
        <v>59101</v>
      </c>
      <c r="GS33" s="17">
        <v>63299</v>
      </c>
      <c r="GT33" s="17">
        <v>67497</v>
      </c>
      <c r="GU33" s="17">
        <v>69501</v>
      </c>
      <c r="GV33" s="17">
        <v>72965</v>
      </c>
      <c r="GW33" s="17">
        <v>72965</v>
      </c>
      <c r="GX33" s="17">
        <v>72965</v>
      </c>
      <c r="GY33" s="17">
        <v>74145</v>
      </c>
      <c r="GZ33" s="17">
        <v>74145</v>
      </c>
      <c r="HA33" s="17">
        <v>74145</v>
      </c>
      <c r="HB33" s="17">
        <v>74145</v>
      </c>
      <c r="HC33" s="17">
        <v>75755</v>
      </c>
      <c r="HD33" s="17">
        <v>75755</v>
      </c>
      <c r="HE33" s="17">
        <v>75755</v>
      </c>
      <c r="HF33" s="17">
        <v>76892</v>
      </c>
      <c r="HG33" s="17">
        <v>76892</v>
      </c>
      <c r="HH33" s="17">
        <v>76892</v>
      </c>
      <c r="HI33" s="17">
        <v>76892</v>
      </c>
      <c r="HJ33" s="17">
        <v>78725</v>
      </c>
      <c r="HK33" s="17">
        <v>78725</v>
      </c>
      <c r="HL33" s="17">
        <v>78725</v>
      </c>
      <c r="HM33" s="17">
        <v>79834</v>
      </c>
      <c r="HN33" s="17">
        <v>79834</v>
      </c>
      <c r="HO33" s="17">
        <v>79834</v>
      </c>
      <c r="HP33" s="17">
        <v>79834</v>
      </c>
      <c r="HQ33" s="17">
        <v>81965</v>
      </c>
      <c r="HR33" s="17">
        <v>81965</v>
      </c>
      <c r="HS33" s="17">
        <v>82865</v>
      </c>
      <c r="HT33" s="17">
        <v>82865</v>
      </c>
      <c r="HU33" s="17">
        <v>82865</v>
      </c>
      <c r="HV33" s="17">
        <v>82865</v>
      </c>
      <c r="HW33" s="17">
        <v>82865</v>
      </c>
      <c r="HX33" s="17">
        <v>82865</v>
      </c>
      <c r="HY33" s="17">
        <v>82865</v>
      </c>
      <c r="HZ33" s="17">
        <v>83855</v>
      </c>
      <c r="IA33" s="17">
        <v>83855</v>
      </c>
      <c r="IB33" s="17">
        <v>83855</v>
      </c>
      <c r="IC33" s="17">
        <v>83855</v>
      </c>
      <c r="ID33" s="17">
        <v>83855</v>
      </c>
      <c r="IE33" s="17">
        <v>83855</v>
      </c>
      <c r="IF33" s="17">
        <v>83855</v>
      </c>
      <c r="IG33" s="17">
        <v>84935</v>
      </c>
      <c r="IH33" s="17">
        <v>84935</v>
      </c>
      <c r="II33" s="17">
        <v>84935</v>
      </c>
      <c r="IJ33" s="17">
        <v>84935</v>
      </c>
      <c r="IK33" s="17">
        <v>84935</v>
      </c>
      <c r="IL33" s="17">
        <v>84935</v>
      </c>
      <c r="IM33" s="17">
        <v>84935</v>
      </c>
      <c r="IN33" s="17">
        <v>85925</v>
      </c>
      <c r="IO33" s="17">
        <v>85925</v>
      </c>
      <c r="IP33" s="17">
        <v>85925</v>
      </c>
      <c r="IQ33" s="17">
        <v>85925</v>
      </c>
      <c r="IR33" s="17">
        <v>85925</v>
      </c>
      <c r="IS33" s="17">
        <v>85925</v>
      </c>
      <c r="IT33" s="17">
        <v>85925</v>
      </c>
      <c r="IU33" s="17">
        <v>86915</v>
      </c>
      <c r="IV33" s="17">
        <v>86915</v>
      </c>
      <c r="IW33" s="17">
        <v>86915</v>
      </c>
      <c r="IX33" s="17">
        <v>86915</v>
      </c>
      <c r="IY33" s="17">
        <v>86915</v>
      </c>
      <c r="IZ33" s="17">
        <v>86915</v>
      </c>
      <c r="JA33" s="17">
        <v>86915</v>
      </c>
      <c r="JB33" s="17">
        <v>87995</v>
      </c>
      <c r="JC33" s="17">
        <v>87995</v>
      </c>
      <c r="JD33" s="17">
        <v>87995</v>
      </c>
      <c r="JE33" s="17">
        <v>87995</v>
      </c>
      <c r="JF33" s="17">
        <v>87995</v>
      </c>
      <c r="JG33" s="17">
        <v>87995</v>
      </c>
      <c r="JH33" s="17">
        <v>87995</v>
      </c>
      <c r="JI33" s="17">
        <v>88535</v>
      </c>
      <c r="JJ33" s="17">
        <v>88535</v>
      </c>
      <c r="JK33" s="17">
        <v>88535</v>
      </c>
      <c r="JL33" s="17">
        <v>88535</v>
      </c>
      <c r="JM33" s="17">
        <v>88535</v>
      </c>
      <c r="JN33" s="17">
        <v>88535</v>
      </c>
      <c r="JO33" s="17">
        <v>88535</v>
      </c>
      <c r="JP33" s="17">
        <v>89615</v>
      </c>
      <c r="JQ33" s="17">
        <v>89615</v>
      </c>
      <c r="JR33" s="17">
        <v>89615</v>
      </c>
      <c r="JS33" s="17">
        <v>89615</v>
      </c>
      <c r="JT33" s="17">
        <v>89615</v>
      </c>
      <c r="JU33" s="17">
        <v>89615</v>
      </c>
      <c r="JV33" s="17">
        <v>89615</v>
      </c>
      <c r="JW33" s="17">
        <v>90734</v>
      </c>
      <c r="JX33" s="17">
        <v>90734</v>
      </c>
      <c r="JY33" s="17">
        <v>90734</v>
      </c>
      <c r="JZ33" s="17">
        <v>90734</v>
      </c>
      <c r="KA33" s="17">
        <v>90734</v>
      </c>
      <c r="KB33" s="17">
        <v>91055</v>
      </c>
      <c r="KC33" s="17">
        <v>91055</v>
      </c>
      <c r="KD33" s="17">
        <v>92246</v>
      </c>
      <c r="KE33" s="17">
        <v>92246</v>
      </c>
      <c r="KF33" s="17">
        <v>92246</v>
      </c>
      <c r="KG33" s="17">
        <v>92246</v>
      </c>
      <c r="KH33" s="17">
        <v>92246</v>
      </c>
      <c r="KI33" s="17">
        <v>92855</v>
      </c>
      <c r="KJ33" s="17">
        <v>92855</v>
      </c>
      <c r="KK33" s="17">
        <v>94021</v>
      </c>
      <c r="KL33" s="17">
        <v>94021</v>
      </c>
      <c r="KM33" s="17">
        <v>94021</v>
      </c>
      <c r="KN33" s="17">
        <v>94021</v>
      </c>
      <c r="KO33" s="17">
        <v>94021</v>
      </c>
      <c r="KP33" s="17">
        <v>94295</v>
      </c>
      <c r="KQ33" s="17">
        <v>94295</v>
      </c>
      <c r="KR33" s="17">
        <v>95450</v>
      </c>
      <c r="KS33" s="17">
        <v>95450</v>
      </c>
      <c r="KT33" s="17">
        <v>95450</v>
      </c>
      <c r="KU33" s="17">
        <v>95450</v>
      </c>
      <c r="KV33" s="17">
        <v>95450</v>
      </c>
      <c r="KW33" s="17">
        <v>95825</v>
      </c>
      <c r="KX33" s="17">
        <v>95825</v>
      </c>
      <c r="KY33" s="17">
        <v>96975</v>
      </c>
      <c r="KZ33" s="17">
        <v>96975</v>
      </c>
      <c r="LA33" s="17">
        <v>96975</v>
      </c>
      <c r="LB33" s="17">
        <v>96975</v>
      </c>
      <c r="LC33" s="17">
        <v>96975</v>
      </c>
      <c r="LD33" s="17">
        <v>97085</v>
      </c>
      <c r="LE33" s="17">
        <v>97085</v>
      </c>
      <c r="LF33" s="17">
        <v>98241</v>
      </c>
      <c r="LG33" s="17">
        <v>98241</v>
      </c>
      <c r="LH33" s="17">
        <v>98241</v>
      </c>
      <c r="LI33" s="17">
        <v>98241</v>
      </c>
      <c r="LJ33" s="17">
        <v>98241</v>
      </c>
      <c r="LK33" s="17">
        <v>98345</v>
      </c>
      <c r="LL33" s="17">
        <v>98345</v>
      </c>
      <c r="LM33" s="17">
        <v>99457</v>
      </c>
      <c r="LN33" s="17">
        <v>99457</v>
      </c>
      <c r="LO33" s="17">
        <v>99457</v>
      </c>
      <c r="LP33" s="17">
        <v>99457</v>
      </c>
      <c r="LQ33" s="17">
        <v>99457</v>
      </c>
      <c r="LR33" s="17">
        <v>99515</v>
      </c>
      <c r="LS33" s="17">
        <v>99515</v>
      </c>
      <c r="LT33" s="17">
        <v>100643</v>
      </c>
      <c r="LU33" s="17">
        <v>100643</v>
      </c>
      <c r="LV33" s="17">
        <v>100643</v>
      </c>
      <c r="LW33" s="17">
        <v>100643</v>
      </c>
      <c r="LX33" s="17">
        <v>100643</v>
      </c>
      <c r="LY33" s="17">
        <v>100685</v>
      </c>
      <c r="LZ33" s="17">
        <v>100685</v>
      </c>
      <c r="MA33" s="17">
        <v>101819</v>
      </c>
      <c r="MB33" s="17">
        <v>101819</v>
      </c>
      <c r="MC33" s="17">
        <v>101819</v>
      </c>
      <c r="MD33" s="17">
        <v>101819</v>
      </c>
      <c r="ME33" s="17">
        <v>101819</v>
      </c>
      <c r="MF33" s="17">
        <v>102215</v>
      </c>
      <c r="MG33" s="17">
        <v>102215</v>
      </c>
      <c r="MH33" s="17">
        <v>103375</v>
      </c>
      <c r="MI33" s="17">
        <v>103375</v>
      </c>
      <c r="MJ33" s="17">
        <v>103375</v>
      </c>
      <c r="MK33" s="17">
        <v>103375</v>
      </c>
      <c r="ML33" s="17">
        <v>103375</v>
      </c>
      <c r="MM33" s="17">
        <v>104735</v>
      </c>
      <c r="MN33" s="17">
        <v>104735</v>
      </c>
      <c r="MO33" s="17">
        <v>105857</v>
      </c>
      <c r="MP33" s="17">
        <v>105857</v>
      </c>
      <c r="MQ33" s="17">
        <v>105857</v>
      </c>
      <c r="MR33" s="17">
        <v>105857</v>
      </c>
      <c r="MS33" s="17">
        <v>105857</v>
      </c>
      <c r="MT33" s="17">
        <v>107345</v>
      </c>
      <c r="MU33" s="17">
        <v>107345</v>
      </c>
      <c r="MV33" s="17">
        <v>108522</v>
      </c>
      <c r="MW33" s="17">
        <v>108522</v>
      </c>
      <c r="MX33" s="17">
        <v>108522</v>
      </c>
      <c r="MY33" s="17">
        <v>108522</v>
      </c>
      <c r="MZ33" s="17">
        <v>108522</v>
      </c>
      <c r="NA33" s="17">
        <v>111125</v>
      </c>
      <c r="NB33" s="17">
        <v>111125</v>
      </c>
      <c r="NC33" s="17">
        <v>112285</v>
      </c>
      <c r="ND33" s="17">
        <v>112285</v>
      </c>
      <c r="NE33" s="17">
        <v>112285</v>
      </c>
      <c r="NF33" s="17">
        <v>112285</v>
      </c>
      <c r="NG33" s="17">
        <v>112285</v>
      </c>
      <c r="NH33" s="17">
        <v>114545</v>
      </c>
      <c r="NI33" s="17">
        <v>114545</v>
      </c>
      <c r="NJ33" s="17">
        <v>115722</v>
      </c>
      <c r="NK33" s="17">
        <v>115722</v>
      </c>
      <c r="NL33" s="17">
        <v>115722</v>
      </c>
      <c r="NM33" s="17">
        <v>115722</v>
      </c>
      <c r="NN33" s="17">
        <v>115722</v>
      </c>
      <c r="NO33" s="17">
        <v>118415</v>
      </c>
      <c r="NP33" s="17">
        <v>118415</v>
      </c>
      <c r="NQ33" s="17">
        <v>119591</v>
      </c>
      <c r="NR33" s="17">
        <v>119591</v>
      </c>
      <c r="NS33" s="17">
        <v>119591</v>
      </c>
      <c r="NT33" s="17">
        <v>119591</v>
      </c>
      <c r="NU33" s="17">
        <v>119591</v>
      </c>
      <c r="NV33" s="17">
        <v>122375</v>
      </c>
      <c r="NW33" s="17">
        <v>122375</v>
      </c>
      <c r="NX33" s="17">
        <v>123562</v>
      </c>
      <c r="NY33" s="17">
        <v>123562</v>
      </c>
      <c r="NZ33" s="17">
        <v>123562</v>
      </c>
      <c r="OA33" s="17">
        <v>123562</v>
      </c>
      <c r="OB33" s="17">
        <v>123562</v>
      </c>
      <c r="OC33" s="17">
        <v>124625</v>
      </c>
      <c r="OD33" s="17">
        <v>124625</v>
      </c>
      <c r="OE33" s="17">
        <v>125771</v>
      </c>
      <c r="OF33" s="17">
        <v>125771</v>
      </c>
      <c r="OG33" s="17">
        <v>125771</v>
      </c>
      <c r="OH33" s="17">
        <v>125771</v>
      </c>
      <c r="OI33" s="17">
        <v>125771</v>
      </c>
      <c r="OJ33" s="17">
        <v>126785</v>
      </c>
      <c r="OK33" s="17">
        <v>126785</v>
      </c>
      <c r="OL33" s="17">
        <v>127980</v>
      </c>
      <c r="OM33" s="17">
        <v>127980</v>
      </c>
      <c r="ON33" s="17">
        <v>127980</v>
      </c>
      <c r="OO33" s="17">
        <v>127980</v>
      </c>
      <c r="OP33" s="17">
        <v>127980</v>
      </c>
      <c r="OQ33" s="17">
        <v>129035</v>
      </c>
      <c r="OR33" s="17">
        <v>129035</v>
      </c>
      <c r="OS33" s="17">
        <v>130189</v>
      </c>
      <c r="OT33" s="17">
        <v>130189</v>
      </c>
      <c r="OU33" s="17">
        <v>130189</v>
      </c>
      <c r="OV33" s="17">
        <v>130189</v>
      </c>
      <c r="OW33" s="17">
        <v>130189</v>
      </c>
      <c r="OX33" s="17">
        <v>131285</v>
      </c>
      <c r="OY33" s="17">
        <v>131285</v>
      </c>
      <c r="OZ33" s="17">
        <v>132398</v>
      </c>
      <c r="PA33" s="17">
        <v>132398</v>
      </c>
      <c r="PB33" s="17">
        <v>132398</v>
      </c>
      <c r="PC33" s="17">
        <v>132398</v>
      </c>
      <c r="PD33" s="17">
        <v>132398</v>
      </c>
      <c r="PE33" s="17">
        <v>133412</v>
      </c>
      <c r="PF33" s="17">
        <v>133412</v>
      </c>
      <c r="PG33" s="17">
        <v>133412</v>
      </c>
      <c r="PH33" s="17">
        <v>133412</v>
      </c>
      <c r="PI33" s="17">
        <v>133412</v>
      </c>
      <c r="PJ33" s="17">
        <v>133412</v>
      </c>
      <c r="PK33" s="17">
        <v>133412</v>
      </c>
      <c r="PL33" s="17">
        <v>133412</v>
      </c>
    </row>
    <row r="34" spans="1:428" s="12" customFormat="1" outlineLevel="1">
      <c r="A34" s="20" t="s">
        <v>19</v>
      </c>
      <c r="B34" s="12" t="s">
        <v>38</v>
      </c>
      <c r="C34" s="12" t="str">
        <f t="shared" si="21"/>
        <v>LensPanthos SBLACK</v>
      </c>
      <c r="D34" s="12" t="s">
        <v>33</v>
      </c>
      <c r="E34" s="16" t="s">
        <v>14</v>
      </c>
      <c r="F34" s="13" t="s">
        <v>41</v>
      </c>
      <c r="G34" s="13" t="s">
        <v>1</v>
      </c>
      <c r="H34" s="14">
        <v>318003500484</v>
      </c>
      <c r="I34" s="13"/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7">
        <v>0</v>
      </c>
      <c r="DG34" s="17">
        <v>0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0</v>
      </c>
      <c r="DW34" s="17">
        <v>0</v>
      </c>
      <c r="DX34" s="17">
        <v>0</v>
      </c>
      <c r="DY34" s="17">
        <v>0</v>
      </c>
      <c r="DZ34" s="17">
        <v>0</v>
      </c>
      <c r="EA34" s="17">
        <v>0</v>
      </c>
      <c r="EB34" s="17">
        <v>0</v>
      </c>
      <c r="EC34" s="17">
        <v>0</v>
      </c>
      <c r="ED34" s="17">
        <v>0</v>
      </c>
      <c r="EE34" s="17">
        <v>0</v>
      </c>
      <c r="EF34" s="17">
        <v>0</v>
      </c>
      <c r="EG34" s="17">
        <v>0</v>
      </c>
      <c r="EH34" s="17">
        <v>0</v>
      </c>
      <c r="EI34" s="17">
        <v>0</v>
      </c>
      <c r="EJ34" s="17">
        <v>0</v>
      </c>
      <c r="EK34" s="17">
        <v>0</v>
      </c>
      <c r="EL34" s="17">
        <v>0</v>
      </c>
      <c r="EM34" s="17">
        <v>0</v>
      </c>
      <c r="EN34" s="17">
        <v>0</v>
      </c>
      <c r="EO34" s="17">
        <v>0</v>
      </c>
      <c r="EP34" s="17">
        <v>0</v>
      </c>
      <c r="EQ34" s="17">
        <v>0</v>
      </c>
      <c r="ER34" s="17">
        <v>0</v>
      </c>
      <c r="ES34" s="17">
        <v>0</v>
      </c>
      <c r="ET34" s="17">
        <v>0</v>
      </c>
      <c r="EU34" s="17">
        <v>0</v>
      </c>
      <c r="EV34" s="17">
        <v>0</v>
      </c>
      <c r="EW34" s="17">
        <v>0</v>
      </c>
      <c r="EX34" s="17">
        <v>0</v>
      </c>
      <c r="EY34" s="17">
        <v>0</v>
      </c>
      <c r="EZ34" s="17">
        <v>0</v>
      </c>
      <c r="FA34" s="17">
        <v>0</v>
      </c>
      <c r="FB34" s="17">
        <v>0</v>
      </c>
      <c r="FC34" s="17">
        <v>0</v>
      </c>
      <c r="FD34" s="17">
        <v>0</v>
      </c>
      <c r="FE34" s="17">
        <v>0</v>
      </c>
      <c r="FF34" s="17">
        <v>0</v>
      </c>
      <c r="FG34" s="17">
        <v>0</v>
      </c>
      <c r="FH34" s="17">
        <v>0</v>
      </c>
      <c r="FI34" s="17">
        <v>0</v>
      </c>
      <c r="FJ34" s="17">
        <v>0</v>
      </c>
      <c r="FK34" s="17">
        <v>42</v>
      </c>
      <c r="FL34" s="17">
        <v>690</v>
      </c>
      <c r="FM34" s="17">
        <v>2010</v>
      </c>
      <c r="FN34" s="17">
        <v>2010</v>
      </c>
      <c r="FO34" s="17">
        <v>4698</v>
      </c>
      <c r="FP34" s="17">
        <v>7386</v>
      </c>
      <c r="FQ34" s="17">
        <v>10074</v>
      </c>
      <c r="FR34" s="17">
        <v>12054</v>
      </c>
      <c r="FS34" s="17">
        <v>12054</v>
      </c>
      <c r="FT34" s="17">
        <v>12060</v>
      </c>
      <c r="FU34" s="17">
        <v>12060</v>
      </c>
      <c r="FV34" s="17">
        <v>12060</v>
      </c>
      <c r="FW34" s="17">
        <v>12060</v>
      </c>
      <c r="FX34" s="17">
        <v>12060</v>
      </c>
      <c r="FY34" s="17">
        <v>12060</v>
      </c>
      <c r="FZ34" s="17">
        <v>12060</v>
      </c>
      <c r="GA34" s="17">
        <v>12060</v>
      </c>
      <c r="GB34" s="17">
        <v>12060</v>
      </c>
      <c r="GC34" s="17">
        <v>12060</v>
      </c>
      <c r="GD34" s="17">
        <v>12060</v>
      </c>
      <c r="GE34" s="17">
        <v>12060</v>
      </c>
      <c r="GF34" s="17">
        <v>14660</v>
      </c>
      <c r="GG34" s="17">
        <v>17260</v>
      </c>
      <c r="GH34" s="17">
        <v>19860</v>
      </c>
      <c r="GI34" s="17">
        <v>19860</v>
      </c>
      <c r="GJ34" s="17">
        <v>22460</v>
      </c>
      <c r="GK34" s="17">
        <v>25148</v>
      </c>
      <c r="GL34" s="17">
        <v>26594</v>
      </c>
      <c r="GM34" s="17">
        <v>26594</v>
      </c>
      <c r="GN34" s="17">
        <v>26594</v>
      </c>
      <c r="GO34" s="17">
        <v>27836</v>
      </c>
      <c r="GP34" s="17">
        <v>27836</v>
      </c>
      <c r="GQ34" s="17">
        <v>27836</v>
      </c>
      <c r="GR34" s="17">
        <v>28238</v>
      </c>
      <c r="GS34" s="17">
        <v>28238</v>
      </c>
      <c r="GT34" s="17">
        <v>28238</v>
      </c>
      <c r="GU34" s="17">
        <v>28238</v>
      </c>
      <c r="GV34" s="17">
        <v>28950</v>
      </c>
      <c r="GW34" s="17">
        <v>28950</v>
      </c>
      <c r="GX34" s="17">
        <v>28950</v>
      </c>
      <c r="GY34" s="17">
        <v>30061</v>
      </c>
      <c r="GZ34" s="17">
        <v>30061</v>
      </c>
      <c r="HA34" s="17">
        <v>30061</v>
      </c>
      <c r="HB34" s="17">
        <v>30061</v>
      </c>
      <c r="HC34" s="17">
        <v>30480</v>
      </c>
      <c r="HD34" s="17">
        <v>30480</v>
      </c>
      <c r="HE34" s="17">
        <v>30480</v>
      </c>
      <c r="HF34" s="17">
        <v>31615</v>
      </c>
      <c r="HG34" s="17">
        <v>31615</v>
      </c>
      <c r="HH34" s="17">
        <v>31615</v>
      </c>
      <c r="HI34" s="17">
        <v>31615</v>
      </c>
      <c r="HJ34" s="17">
        <v>32010</v>
      </c>
      <c r="HK34" s="17">
        <v>32010</v>
      </c>
      <c r="HL34" s="17">
        <v>32010</v>
      </c>
      <c r="HM34" s="17">
        <v>33122</v>
      </c>
      <c r="HN34" s="17">
        <v>33122</v>
      </c>
      <c r="HO34" s="17">
        <v>33122</v>
      </c>
      <c r="HP34" s="17">
        <v>33122</v>
      </c>
      <c r="HQ34" s="17">
        <v>33540</v>
      </c>
      <c r="HR34" s="17">
        <v>33540</v>
      </c>
      <c r="HS34" s="17">
        <v>33900</v>
      </c>
      <c r="HT34" s="17">
        <v>33900</v>
      </c>
      <c r="HU34" s="17">
        <v>33900</v>
      </c>
      <c r="HV34" s="17">
        <v>33900</v>
      </c>
      <c r="HW34" s="17">
        <v>33900</v>
      </c>
      <c r="HX34" s="17">
        <v>33900</v>
      </c>
      <c r="HY34" s="17">
        <v>33900</v>
      </c>
      <c r="HZ34" s="17">
        <v>34260</v>
      </c>
      <c r="IA34" s="17">
        <v>34260</v>
      </c>
      <c r="IB34" s="17">
        <v>34260</v>
      </c>
      <c r="IC34" s="17">
        <v>34260</v>
      </c>
      <c r="ID34" s="17">
        <v>34260</v>
      </c>
      <c r="IE34" s="17">
        <v>34260</v>
      </c>
      <c r="IF34" s="17">
        <v>34260</v>
      </c>
      <c r="IG34" s="17">
        <v>34710</v>
      </c>
      <c r="IH34" s="17">
        <v>34710</v>
      </c>
      <c r="II34" s="17">
        <v>34710</v>
      </c>
      <c r="IJ34" s="17">
        <v>34710</v>
      </c>
      <c r="IK34" s="17">
        <v>34710</v>
      </c>
      <c r="IL34" s="17">
        <v>34710</v>
      </c>
      <c r="IM34" s="17">
        <v>34710</v>
      </c>
      <c r="IN34" s="17">
        <v>35070</v>
      </c>
      <c r="IO34" s="17">
        <v>35070</v>
      </c>
      <c r="IP34" s="17">
        <v>35070</v>
      </c>
      <c r="IQ34" s="17">
        <v>35070</v>
      </c>
      <c r="IR34" s="17">
        <v>35070</v>
      </c>
      <c r="IS34" s="17">
        <v>35070</v>
      </c>
      <c r="IT34" s="17">
        <v>35070</v>
      </c>
      <c r="IU34" s="17">
        <v>35430</v>
      </c>
      <c r="IV34" s="17">
        <v>35430</v>
      </c>
      <c r="IW34" s="17">
        <v>35430</v>
      </c>
      <c r="IX34" s="17">
        <v>35430</v>
      </c>
      <c r="IY34" s="17">
        <v>35430</v>
      </c>
      <c r="IZ34" s="17">
        <v>35430</v>
      </c>
      <c r="JA34" s="17">
        <v>35430</v>
      </c>
      <c r="JB34" s="17">
        <v>35880</v>
      </c>
      <c r="JC34" s="17">
        <v>35880</v>
      </c>
      <c r="JD34" s="17">
        <v>35880</v>
      </c>
      <c r="JE34" s="17">
        <v>35880</v>
      </c>
      <c r="JF34" s="17">
        <v>35880</v>
      </c>
      <c r="JG34" s="17">
        <v>35880</v>
      </c>
      <c r="JH34" s="17">
        <v>35880</v>
      </c>
      <c r="JI34" s="17">
        <v>36240</v>
      </c>
      <c r="JJ34" s="17">
        <v>36240</v>
      </c>
      <c r="JK34" s="17">
        <v>36240</v>
      </c>
      <c r="JL34" s="17">
        <v>36240</v>
      </c>
      <c r="JM34" s="17">
        <v>36240</v>
      </c>
      <c r="JN34" s="17">
        <v>36240</v>
      </c>
      <c r="JO34" s="17">
        <v>36240</v>
      </c>
      <c r="JP34" s="17">
        <v>37140</v>
      </c>
      <c r="JQ34" s="17">
        <v>37140</v>
      </c>
      <c r="JR34" s="17">
        <v>37140</v>
      </c>
      <c r="JS34" s="17">
        <v>37140</v>
      </c>
      <c r="JT34" s="17">
        <v>37140</v>
      </c>
      <c r="JU34" s="17">
        <v>37140</v>
      </c>
      <c r="JV34" s="17">
        <v>37140</v>
      </c>
      <c r="JW34" s="17">
        <v>37860</v>
      </c>
      <c r="JX34" s="17">
        <v>37860</v>
      </c>
      <c r="JY34" s="17">
        <v>37860</v>
      </c>
      <c r="JZ34" s="17">
        <v>37860</v>
      </c>
      <c r="KA34" s="17">
        <v>37860</v>
      </c>
      <c r="KB34" s="17">
        <v>37860</v>
      </c>
      <c r="KC34" s="17">
        <v>37860</v>
      </c>
      <c r="KD34" s="17">
        <v>38670</v>
      </c>
      <c r="KE34" s="17">
        <v>38670</v>
      </c>
      <c r="KF34" s="17">
        <v>38670</v>
      </c>
      <c r="KG34" s="17">
        <v>38670</v>
      </c>
      <c r="KH34" s="17">
        <v>38670</v>
      </c>
      <c r="KI34" s="17">
        <v>38670</v>
      </c>
      <c r="KJ34" s="17">
        <v>38670</v>
      </c>
      <c r="KK34" s="17">
        <v>39390</v>
      </c>
      <c r="KL34" s="17">
        <v>39390</v>
      </c>
      <c r="KM34" s="17">
        <v>39390</v>
      </c>
      <c r="KN34" s="17">
        <v>39390</v>
      </c>
      <c r="KO34" s="17">
        <v>39390</v>
      </c>
      <c r="KP34" s="17">
        <v>39390</v>
      </c>
      <c r="KQ34" s="17">
        <v>39390</v>
      </c>
      <c r="KR34" s="17">
        <v>40200</v>
      </c>
      <c r="KS34" s="17">
        <v>40200</v>
      </c>
      <c r="KT34" s="17">
        <v>40200</v>
      </c>
      <c r="KU34" s="17">
        <v>40200</v>
      </c>
      <c r="KV34" s="17">
        <v>40200</v>
      </c>
      <c r="KW34" s="17">
        <v>40200</v>
      </c>
      <c r="KX34" s="17">
        <v>40200</v>
      </c>
      <c r="KY34" s="17">
        <v>40740</v>
      </c>
      <c r="KZ34" s="17">
        <v>40740</v>
      </c>
      <c r="LA34" s="17">
        <v>40740</v>
      </c>
      <c r="LB34" s="17">
        <v>40740</v>
      </c>
      <c r="LC34" s="17">
        <v>40740</v>
      </c>
      <c r="LD34" s="17">
        <v>40740</v>
      </c>
      <c r="LE34" s="17">
        <v>40740</v>
      </c>
      <c r="LF34" s="17">
        <v>41370</v>
      </c>
      <c r="LG34" s="17">
        <v>41370</v>
      </c>
      <c r="LH34" s="17">
        <v>41370</v>
      </c>
      <c r="LI34" s="17">
        <v>41370</v>
      </c>
      <c r="LJ34" s="17">
        <v>41370</v>
      </c>
      <c r="LK34" s="17">
        <v>41370</v>
      </c>
      <c r="LL34" s="17">
        <v>41370</v>
      </c>
      <c r="LM34" s="17">
        <v>41910</v>
      </c>
      <c r="LN34" s="17">
        <v>41910</v>
      </c>
      <c r="LO34" s="17">
        <v>41910</v>
      </c>
      <c r="LP34" s="17">
        <v>41910</v>
      </c>
      <c r="LQ34" s="17">
        <v>41910</v>
      </c>
      <c r="LR34" s="17">
        <v>41910</v>
      </c>
      <c r="LS34" s="17">
        <v>41910</v>
      </c>
      <c r="LT34" s="17">
        <v>42540</v>
      </c>
      <c r="LU34" s="17">
        <v>42540</v>
      </c>
      <c r="LV34" s="17">
        <v>42540</v>
      </c>
      <c r="LW34" s="17">
        <v>42540</v>
      </c>
      <c r="LX34" s="17">
        <v>42540</v>
      </c>
      <c r="LY34" s="17">
        <v>42540</v>
      </c>
      <c r="LZ34" s="17">
        <v>42540</v>
      </c>
      <c r="MA34" s="17">
        <v>43210</v>
      </c>
      <c r="MB34" s="17">
        <v>43210</v>
      </c>
      <c r="MC34" s="17">
        <v>43210</v>
      </c>
      <c r="MD34" s="17">
        <v>43210</v>
      </c>
      <c r="ME34" s="17">
        <v>43210</v>
      </c>
      <c r="MF34" s="17">
        <v>43210</v>
      </c>
      <c r="MG34" s="17">
        <v>43210</v>
      </c>
      <c r="MH34" s="17">
        <v>44340</v>
      </c>
      <c r="MI34" s="17">
        <v>44340</v>
      </c>
      <c r="MJ34" s="17">
        <v>44340</v>
      </c>
      <c r="MK34" s="17">
        <v>44340</v>
      </c>
      <c r="ML34" s="17">
        <v>44340</v>
      </c>
      <c r="MM34" s="17">
        <v>44340</v>
      </c>
      <c r="MN34" s="17">
        <v>44340</v>
      </c>
      <c r="MO34" s="17">
        <v>45420</v>
      </c>
      <c r="MP34" s="17">
        <v>45420</v>
      </c>
      <c r="MQ34" s="17">
        <v>45420</v>
      </c>
      <c r="MR34" s="17">
        <v>45420</v>
      </c>
      <c r="MS34" s="17">
        <v>45420</v>
      </c>
      <c r="MT34" s="17">
        <v>45420</v>
      </c>
      <c r="MU34" s="17">
        <v>45420</v>
      </c>
      <c r="MV34" s="17">
        <v>46596</v>
      </c>
      <c r="MW34" s="17">
        <v>46596</v>
      </c>
      <c r="MX34" s="17">
        <v>46596</v>
      </c>
      <c r="MY34" s="17">
        <v>46596</v>
      </c>
      <c r="MZ34" s="17">
        <v>46596</v>
      </c>
      <c r="NA34" s="17">
        <v>47130</v>
      </c>
      <c r="NB34" s="17">
        <v>47130</v>
      </c>
      <c r="NC34" s="17">
        <v>48273</v>
      </c>
      <c r="ND34" s="17">
        <v>48273</v>
      </c>
      <c r="NE34" s="17">
        <v>48273</v>
      </c>
      <c r="NF34" s="17">
        <v>48273</v>
      </c>
      <c r="NG34" s="17">
        <v>48273</v>
      </c>
      <c r="NH34" s="17">
        <v>48750</v>
      </c>
      <c r="NI34" s="17">
        <v>48750</v>
      </c>
      <c r="NJ34" s="17">
        <v>49947</v>
      </c>
      <c r="NK34" s="17">
        <v>49947</v>
      </c>
      <c r="NL34" s="17">
        <v>49947</v>
      </c>
      <c r="NM34" s="17">
        <v>49947</v>
      </c>
      <c r="NN34" s="17">
        <v>49947</v>
      </c>
      <c r="NO34" s="17">
        <v>50460</v>
      </c>
      <c r="NP34" s="17">
        <v>50460</v>
      </c>
      <c r="NQ34" s="17">
        <v>51611</v>
      </c>
      <c r="NR34" s="17">
        <v>51611</v>
      </c>
      <c r="NS34" s="17">
        <v>51611</v>
      </c>
      <c r="NT34" s="17">
        <v>51611</v>
      </c>
      <c r="NU34" s="17">
        <v>51611</v>
      </c>
      <c r="NV34" s="17">
        <v>52170</v>
      </c>
      <c r="NW34" s="17">
        <v>52170</v>
      </c>
      <c r="NX34" s="17">
        <v>53070</v>
      </c>
      <c r="NY34" s="17">
        <v>53070</v>
      </c>
      <c r="NZ34" s="17">
        <v>53070</v>
      </c>
      <c r="OA34" s="17">
        <v>53070</v>
      </c>
      <c r="OB34" s="17">
        <v>53070</v>
      </c>
      <c r="OC34" s="17">
        <v>53070</v>
      </c>
      <c r="OD34" s="17">
        <v>53070</v>
      </c>
      <c r="OE34" s="17">
        <v>54010</v>
      </c>
      <c r="OF34" s="17">
        <v>54010</v>
      </c>
      <c r="OG34" s="17">
        <v>54010</v>
      </c>
      <c r="OH34" s="17">
        <v>54010</v>
      </c>
      <c r="OI34" s="17">
        <v>54010</v>
      </c>
      <c r="OJ34" s="17">
        <v>54010</v>
      </c>
      <c r="OK34" s="17">
        <v>54010</v>
      </c>
      <c r="OL34" s="17">
        <v>54960</v>
      </c>
      <c r="OM34" s="17">
        <v>54960</v>
      </c>
      <c r="ON34" s="17">
        <v>54960</v>
      </c>
      <c r="OO34" s="17">
        <v>54960</v>
      </c>
      <c r="OP34" s="17">
        <v>54960</v>
      </c>
      <c r="OQ34" s="17">
        <v>54960</v>
      </c>
      <c r="OR34" s="17">
        <v>54960</v>
      </c>
      <c r="OS34" s="17">
        <v>55950</v>
      </c>
      <c r="OT34" s="17">
        <v>55950</v>
      </c>
      <c r="OU34" s="17">
        <v>55950</v>
      </c>
      <c r="OV34" s="17">
        <v>55950</v>
      </c>
      <c r="OW34" s="17">
        <v>55950</v>
      </c>
      <c r="OX34" s="17">
        <v>55950</v>
      </c>
      <c r="OY34" s="17">
        <v>55950</v>
      </c>
      <c r="OZ34" s="17">
        <v>56806</v>
      </c>
      <c r="PA34" s="17">
        <v>56806</v>
      </c>
      <c r="PB34" s="17">
        <v>56806</v>
      </c>
      <c r="PC34" s="17">
        <v>56806</v>
      </c>
      <c r="PD34" s="17">
        <v>56806</v>
      </c>
      <c r="PE34" s="17">
        <v>56806</v>
      </c>
      <c r="PF34" s="17">
        <v>56806</v>
      </c>
      <c r="PG34" s="17">
        <v>56806</v>
      </c>
      <c r="PH34" s="17">
        <v>56806</v>
      </c>
      <c r="PI34" s="17">
        <v>56806</v>
      </c>
      <c r="PJ34" s="17">
        <v>56806</v>
      </c>
      <c r="PK34" s="17">
        <v>56806</v>
      </c>
      <c r="PL34" s="17">
        <v>56806</v>
      </c>
    </row>
    <row r="35" spans="1:428" s="12" customFormat="1" outlineLevel="1">
      <c r="A35" s="20" t="s">
        <v>19</v>
      </c>
      <c r="B35" s="12" t="s">
        <v>20</v>
      </c>
      <c r="C35" s="12" t="str">
        <f t="shared" si="21"/>
        <v>LensPanthos SCLASSIC HAVANA</v>
      </c>
      <c r="D35" s="12" t="s">
        <v>33</v>
      </c>
      <c r="E35" s="16" t="s">
        <v>14</v>
      </c>
      <c r="F35" s="13" t="s">
        <v>41</v>
      </c>
      <c r="G35" s="13" t="s">
        <v>2</v>
      </c>
      <c r="H35" s="14">
        <v>318003500482</v>
      </c>
      <c r="I35" s="13"/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0</v>
      </c>
      <c r="DH35" s="17">
        <v>0</v>
      </c>
      <c r="DI35" s="17">
        <v>0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0</v>
      </c>
      <c r="DW35" s="17">
        <v>0</v>
      </c>
      <c r="DX35" s="17">
        <v>0</v>
      </c>
      <c r="DY35" s="17">
        <v>0</v>
      </c>
      <c r="DZ35" s="17">
        <v>0</v>
      </c>
      <c r="EA35" s="17">
        <v>0</v>
      </c>
      <c r="EB35" s="17">
        <v>0</v>
      </c>
      <c r="EC35" s="17">
        <v>0</v>
      </c>
      <c r="ED35" s="17">
        <v>0</v>
      </c>
      <c r="EE35" s="17">
        <v>0</v>
      </c>
      <c r="EF35" s="17">
        <v>0</v>
      </c>
      <c r="EG35" s="17">
        <v>0</v>
      </c>
      <c r="EH35" s="17">
        <v>0</v>
      </c>
      <c r="EI35" s="17">
        <v>0</v>
      </c>
      <c r="EJ35" s="17">
        <v>0</v>
      </c>
      <c r="EK35" s="17">
        <v>0</v>
      </c>
      <c r="EL35" s="17">
        <v>0</v>
      </c>
      <c r="EM35" s="17">
        <v>0</v>
      </c>
      <c r="EN35" s="17">
        <v>0</v>
      </c>
      <c r="EO35" s="17">
        <v>0</v>
      </c>
      <c r="EP35" s="17">
        <v>0</v>
      </c>
      <c r="EQ35" s="17">
        <v>0</v>
      </c>
      <c r="ER35" s="17">
        <v>0</v>
      </c>
      <c r="ES35" s="17">
        <v>0</v>
      </c>
      <c r="ET35" s="17">
        <v>0</v>
      </c>
      <c r="EU35" s="17">
        <v>0</v>
      </c>
      <c r="EV35" s="17">
        <v>0</v>
      </c>
      <c r="EW35" s="17">
        <v>0</v>
      </c>
      <c r="EX35" s="17">
        <v>0</v>
      </c>
      <c r="EY35" s="17">
        <v>0</v>
      </c>
      <c r="EZ35" s="17">
        <v>0</v>
      </c>
      <c r="FA35" s="17">
        <v>0</v>
      </c>
      <c r="FB35" s="17">
        <v>0</v>
      </c>
      <c r="FC35" s="17">
        <v>0</v>
      </c>
      <c r="FD35" s="17">
        <v>0</v>
      </c>
      <c r="FE35" s="17">
        <v>0</v>
      </c>
      <c r="FF35" s="17">
        <v>0</v>
      </c>
      <c r="FG35" s="17">
        <v>0</v>
      </c>
      <c r="FH35" s="17">
        <v>0</v>
      </c>
      <c r="FI35" s="17">
        <v>0</v>
      </c>
      <c r="FJ35" s="17">
        <v>0</v>
      </c>
      <c r="FK35" s="17">
        <v>0</v>
      </c>
      <c r="FL35" s="17">
        <v>0</v>
      </c>
      <c r="FM35" s="17">
        <v>0</v>
      </c>
      <c r="FN35" s="17">
        <v>0</v>
      </c>
      <c r="FO35" s="17">
        <v>0</v>
      </c>
      <c r="FP35" s="17">
        <v>0</v>
      </c>
      <c r="FQ35" s="17">
        <v>0</v>
      </c>
      <c r="FR35" s="17">
        <v>0</v>
      </c>
      <c r="FS35" s="17">
        <v>0</v>
      </c>
      <c r="FT35" s="17">
        <v>0</v>
      </c>
      <c r="FU35" s="17">
        <v>0</v>
      </c>
      <c r="FV35" s="17">
        <v>0</v>
      </c>
      <c r="FW35" s="17">
        <v>0</v>
      </c>
      <c r="FX35" s="17">
        <v>0</v>
      </c>
      <c r="FY35" s="17">
        <v>0</v>
      </c>
      <c r="FZ35" s="17">
        <v>0</v>
      </c>
      <c r="GA35" s="17">
        <v>0</v>
      </c>
      <c r="GB35" s="17">
        <v>0</v>
      </c>
      <c r="GC35" s="17">
        <v>0</v>
      </c>
      <c r="GD35" s="17">
        <v>0</v>
      </c>
      <c r="GE35" s="17">
        <v>0</v>
      </c>
      <c r="GF35" s="17">
        <v>0</v>
      </c>
      <c r="GG35" s="17">
        <v>0</v>
      </c>
      <c r="GH35" s="17">
        <v>0</v>
      </c>
      <c r="GI35" s="17">
        <v>0</v>
      </c>
      <c r="GJ35" s="17">
        <v>0</v>
      </c>
      <c r="GK35" s="17">
        <v>683</v>
      </c>
      <c r="GL35" s="17">
        <v>1516</v>
      </c>
      <c r="GM35" s="17">
        <v>2349</v>
      </c>
      <c r="GN35" s="17">
        <v>3239</v>
      </c>
      <c r="GO35" s="17">
        <v>4129</v>
      </c>
      <c r="GP35" s="17">
        <v>4129</v>
      </c>
      <c r="GQ35" s="17">
        <v>5019</v>
      </c>
      <c r="GR35" s="17">
        <v>5964</v>
      </c>
      <c r="GS35" s="17">
        <v>6909</v>
      </c>
      <c r="GT35" s="17">
        <v>7854</v>
      </c>
      <c r="GU35" s="17">
        <v>8799</v>
      </c>
      <c r="GV35" s="17">
        <v>9744</v>
      </c>
      <c r="GW35" s="17">
        <v>9744</v>
      </c>
      <c r="GX35" s="17">
        <v>10689</v>
      </c>
      <c r="GY35" s="17">
        <v>11634</v>
      </c>
      <c r="GZ35" s="17">
        <v>13334</v>
      </c>
      <c r="HA35" s="17">
        <v>15034</v>
      </c>
      <c r="HB35" s="17">
        <v>16734</v>
      </c>
      <c r="HC35" s="17">
        <v>18434</v>
      </c>
      <c r="HD35" s="17">
        <v>18434</v>
      </c>
      <c r="HE35" s="17">
        <v>20134</v>
      </c>
      <c r="HF35" s="17">
        <v>20134</v>
      </c>
      <c r="HG35" s="17">
        <v>20134</v>
      </c>
      <c r="HH35" s="17">
        <v>20134</v>
      </c>
      <c r="HI35" s="17">
        <v>20134</v>
      </c>
      <c r="HJ35" s="17">
        <v>20134</v>
      </c>
      <c r="HK35" s="17">
        <v>20134</v>
      </c>
      <c r="HL35" s="17">
        <v>21662</v>
      </c>
      <c r="HM35" s="17">
        <v>21662</v>
      </c>
      <c r="HN35" s="17">
        <v>21662</v>
      </c>
      <c r="HO35" s="17">
        <v>21662</v>
      </c>
      <c r="HP35" s="17">
        <v>21662</v>
      </c>
      <c r="HQ35" s="17">
        <v>22732</v>
      </c>
      <c r="HR35" s="17">
        <v>22732</v>
      </c>
      <c r="HS35" s="17">
        <v>22732</v>
      </c>
      <c r="HT35" s="17">
        <v>22732</v>
      </c>
      <c r="HU35" s="17">
        <v>22732</v>
      </c>
      <c r="HV35" s="17">
        <v>22732</v>
      </c>
      <c r="HW35" s="17">
        <v>22732</v>
      </c>
      <c r="HX35" s="17">
        <v>22991</v>
      </c>
      <c r="HY35" s="17">
        <v>22991</v>
      </c>
      <c r="HZ35" s="17">
        <v>22991</v>
      </c>
      <c r="IA35" s="17">
        <v>22991</v>
      </c>
      <c r="IB35" s="17">
        <v>22991</v>
      </c>
      <c r="IC35" s="17">
        <v>22991</v>
      </c>
      <c r="ID35" s="17">
        <v>22991</v>
      </c>
      <c r="IE35" s="17">
        <v>23211</v>
      </c>
      <c r="IF35" s="17">
        <v>23211</v>
      </c>
      <c r="IG35" s="17">
        <v>23211</v>
      </c>
      <c r="IH35" s="17">
        <v>23211</v>
      </c>
      <c r="II35" s="17">
        <v>23211</v>
      </c>
      <c r="IJ35" s="17">
        <v>23211</v>
      </c>
      <c r="IK35" s="17">
        <v>23211</v>
      </c>
      <c r="IL35" s="17">
        <v>23432</v>
      </c>
      <c r="IM35" s="17">
        <v>23432</v>
      </c>
      <c r="IN35" s="17">
        <v>23432</v>
      </c>
      <c r="IO35" s="17">
        <v>23432</v>
      </c>
      <c r="IP35" s="17">
        <v>23432</v>
      </c>
      <c r="IQ35" s="17">
        <v>23432</v>
      </c>
      <c r="IR35" s="17">
        <v>23432</v>
      </c>
      <c r="IS35" s="17">
        <v>23654</v>
      </c>
      <c r="IT35" s="17">
        <v>23654</v>
      </c>
      <c r="IU35" s="17">
        <v>23654</v>
      </c>
      <c r="IV35" s="17">
        <v>23654</v>
      </c>
      <c r="IW35" s="17">
        <v>23654</v>
      </c>
      <c r="IX35" s="17">
        <v>23654</v>
      </c>
      <c r="IY35" s="17">
        <v>23654</v>
      </c>
      <c r="IZ35" s="17">
        <v>23880</v>
      </c>
      <c r="JA35" s="17">
        <v>23880</v>
      </c>
      <c r="JB35" s="17">
        <v>23880</v>
      </c>
      <c r="JC35" s="17">
        <v>23880</v>
      </c>
      <c r="JD35" s="17">
        <v>23880</v>
      </c>
      <c r="JE35" s="17">
        <v>23880</v>
      </c>
      <c r="JF35" s="17">
        <v>23880</v>
      </c>
      <c r="JG35" s="17">
        <v>24105</v>
      </c>
      <c r="JH35" s="17">
        <v>24105</v>
      </c>
      <c r="JI35" s="17">
        <v>24105</v>
      </c>
      <c r="JJ35" s="17">
        <v>24105</v>
      </c>
      <c r="JK35" s="17">
        <v>24105</v>
      </c>
      <c r="JL35" s="17">
        <v>24105</v>
      </c>
      <c r="JM35" s="17">
        <v>24105</v>
      </c>
      <c r="JN35" s="17">
        <v>24311</v>
      </c>
      <c r="JO35" s="17">
        <v>24311</v>
      </c>
      <c r="JP35" s="17">
        <v>24311</v>
      </c>
      <c r="JQ35" s="17">
        <v>24311</v>
      </c>
      <c r="JR35" s="17">
        <v>24311</v>
      </c>
      <c r="JS35" s="17">
        <v>24311</v>
      </c>
      <c r="JT35" s="17">
        <v>24311</v>
      </c>
      <c r="JU35" s="17">
        <v>24736</v>
      </c>
      <c r="JV35" s="17">
        <v>24736</v>
      </c>
      <c r="JW35" s="17">
        <v>24736</v>
      </c>
      <c r="JX35" s="17">
        <v>24736</v>
      </c>
      <c r="JY35" s="17">
        <v>24736</v>
      </c>
      <c r="JZ35" s="17">
        <v>24736</v>
      </c>
      <c r="KA35" s="17">
        <v>24736</v>
      </c>
      <c r="KB35" s="17">
        <v>25237</v>
      </c>
      <c r="KC35" s="17">
        <v>25237</v>
      </c>
      <c r="KD35" s="17">
        <v>25237</v>
      </c>
      <c r="KE35" s="17">
        <v>25237</v>
      </c>
      <c r="KF35" s="17">
        <v>25237</v>
      </c>
      <c r="KG35" s="17">
        <v>25237</v>
      </c>
      <c r="KH35" s="17">
        <v>25237</v>
      </c>
      <c r="KI35" s="17">
        <v>25736</v>
      </c>
      <c r="KJ35" s="17">
        <v>25736</v>
      </c>
      <c r="KK35" s="17">
        <v>25736</v>
      </c>
      <c r="KL35" s="17">
        <v>25736</v>
      </c>
      <c r="KM35" s="17">
        <v>25736</v>
      </c>
      <c r="KN35" s="17">
        <v>25736</v>
      </c>
      <c r="KO35" s="17">
        <v>25736</v>
      </c>
      <c r="KP35" s="17">
        <v>26267</v>
      </c>
      <c r="KQ35" s="17">
        <v>26267</v>
      </c>
      <c r="KR35" s="17">
        <v>26267</v>
      </c>
      <c r="KS35" s="17">
        <v>26267</v>
      </c>
      <c r="KT35" s="17">
        <v>26267</v>
      </c>
      <c r="KU35" s="17">
        <v>26267</v>
      </c>
      <c r="KV35" s="17">
        <v>26267</v>
      </c>
      <c r="KW35" s="17">
        <v>26774</v>
      </c>
      <c r="KX35" s="17">
        <v>26774</v>
      </c>
      <c r="KY35" s="17">
        <v>26774</v>
      </c>
      <c r="KZ35" s="17">
        <v>26774</v>
      </c>
      <c r="LA35" s="17">
        <v>26774</v>
      </c>
      <c r="LB35" s="17">
        <v>26774</v>
      </c>
      <c r="LC35" s="17">
        <v>26774</v>
      </c>
      <c r="LD35" s="17">
        <v>27153</v>
      </c>
      <c r="LE35" s="17">
        <v>27153</v>
      </c>
      <c r="LF35" s="17">
        <v>27153</v>
      </c>
      <c r="LG35" s="17">
        <v>27153</v>
      </c>
      <c r="LH35" s="17">
        <v>27153</v>
      </c>
      <c r="LI35" s="17">
        <v>27153</v>
      </c>
      <c r="LJ35" s="17">
        <v>27153</v>
      </c>
      <c r="LK35" s="17">
        <v>27537</v>
      </c>
      <c r="LL35" s="17">
        <v>27537</v>
      </c>
      <c r="LM35" s="17">
        <v>27537</v>
      </c>
      <c r="LN35" s="17">
        <v>27537</v>
      </c>
      <c r="LO35" s="17">
        <v>27537</v>
      </c>
      <c r="LP35" s="17">
        <v>27537</v>
      </c>
      <c r="LQ35" s="17">
        <v>27537</v>
      </c>
      <c r="LR35" s="17">
        <v>27923</v>
      </c>
      <c r="LS35" s="17">
        <v>27923</v>
      </c>
      <c r="LT35" s="17">
        <v>27923</v>
      </c>
      <c r="LU35" s="17">
        <v>27923</v>
      </c>
      <c r="LV35" s="17">
        <v>27923</v>
      </c>
      <c r="LW35" s="17">
        <v>27923</v>
      </c>
      <c r="LX35" s="17">
        <v>27923</v>
      </c>
      <c r="LY35" s="17">
        <v>28312</v>
      </c>
      <c r="LZ35" s="17">
        <v>28312</v>
      </c>
      <c r="MA35" s="17">
        <v>28312</v>
      </c>
      <c r="MB35" s="17">
        <v>28312</v>
      </c>
      <c r="MC35" s="17">
        <v>28312</v>
      </c>
      <c r="MD35" s="17">
        <v>28312</v>
      </c>
      <c r="ME35" s="17">
        <v>28312</v>
      </c>
      <c r="MF35" s="17">
        <v>28834</v>
      </c>
      <c r="MG35" s="17">
        <v>28834</v>
      </c>
      <c r="MH35" s="17">
        <v>28834</v>
      </c>
      <c r="MI35" s="17">
        <v>28834</v>
      </c>
      <c r="MJ35" s="17">
        <v>28834</v>
      </c>
      <c r="MK35" s="17">
        <v>28834</v>
      </c>
      <c r="ML35" s="17">
        <v>28834</v>
      </c>
      <c r="MM35" s="17">
        <v>29564</v>
      </c>
      <c r="MN35" s="17">
        <v>29564</v>
      </c>
      <c r="MO35" s="17">
        <v>29564</v>
      </c>
      <c r="MP35" s="17">
        <v>29564</v>
      </c>
      <c r="MQ35" s="17">
        <v>29564</v>
      </c>
      <c r="MR35" s="17">
        <v>29564</v>
      </c>
      <c r="MS35" s="17">
        <v>29564</v>
      </c>
      <c r="MT35" s="17">
        <v>30340</v>
      </c>
      <c r="MU35" s="17">
        <v>30340</v>
      </c>
      <c r="MV35" s="17">
        <v>30340</v>
      </c>
      <c r="MW35" s="17">
        <v>30340</v>
      </c>
      <c r="MX35" s="17">
        <v>30340</v>
      </c>
      <c r="MY35" s="17">
        <v>30340</v>
      </c>
      <c r="MZ35" s="17">
        <v>30340</v>
      </c>
      <c r="NA35" s="17">
        <v>31534</v>
      </c>
      <c r="NB35" s="17">
        <v>31534</v>
      </c>
      <c r="NC35" s="17">
        <v>31534</v>
      </c>
      <c r="ND35" s="17">
        <v>31534</v>
      </c>
      <c r="NE35" s="17">
        <v>31534</v>
      </c>
      <c r="NF35" s="17">
        <v>31534</v>
      </c>
      <c r="NG35" s="17">
        <v>31534</v>
      </c>
      <c r="NH35" s="17">
        <v>32707</v>
      </c>
      <c r="NI35" s="17">
        <v>32707</v>
      </c>
      <c r="NJ35" s="17">
        <v>32707</v>
      </c>
      <c r="NK35" s="17">
        <v>32707</v>
      </c>
      <c r="NL35" s="17">
        <v>32707</v>
      </c>
      <c r="NM35" s="17">
        <v>32707</v>
      </c>
      <c r="NN35" s="17">
        <v>32707</v>
      </c>
      <c r="NO35" s="17">
        <v>33852</v>
      </c>
      <c r="NP35" s="17">
        <v>33852</v>
      </c>
      <c r="NQ35" s="17">
        <v>33852</v>
      </c>
      <c r="NR35" s="17">
        <v>33852</v>
      </c>
      <c r="NS35" s="17">
        <v>33852</v>
      </c>
      <c r="NT35" s="17">
        <v>33852</v>
      </c>
      <c r="NU35" s="17">
        <v>33852</v>
      </c>
      <c r="NV35" s="17">
        <v>34990</v>
      </c>
      <c r="NW35" s="17">
        <v>34990</v>
      </c>
      <c r="NX35" s="17">
        <v>34990</v>
      </c>
      <c r="NY35" s="17">
        <v>34990</v>
      </c>
      <c r="NZ35" s="17">
        <v>34990</v>
      </c>
      <c r="OA35" s="17">
        <v>34990</v>
      </c>
      <c r="OB35" s="17">
        <v>34990</v>
      </c>
      <c r="OC35" s="17">
        <v>35622</v>
      </c>
      <c r="OD35" s="17">
        <v>35622</v>
      </c>
      <c r="OE35" s="17">
        <v>35622</v>
      </c>
      <c r="OF35" s="17">
        <v>35622</v>
      </c>
      <c r="OG35" s="17">
        <v>35622</v>
      </c>
      <c r="OH35" s="17">
        <v>35622</v>
      </c>
      <c r="OI35" s="17">
        <v>35622</v>
      </c>
      <c r="OJ35" s="17">
        <v>36254</v>
      </c>
      <c r="OK35" s="17">
        <v>36254</v>
      </c>
      <c r="OL35" s="17">
        <v>36254</v>
      </c>
      <c r="OM35" s="17">
        <v>36254</v>
      </c>
      <c r="ON35" s="17">
        <v>36254</v>
      </c>
      <c r="OO35" s="17">
        <v>36254</v>
      </c>
      <c r="OP35" s="17">
        <v>36254</v>
      </c>
      <c r="OQ35" s="17">
        <v>36886</v>
      </c>
      <c r="OR35" s="17">
        <v>36886</v>
      </c>
      <c r="OS35" s="17">
        <v>36886</v>
      </c>
      <c r="OT35" s="17">
        <v>36886</v>
      </c>
      <c r="OU35" s="17">
        <v>36886</v>
      </c>
      <c r="OV35" s="17">
        <v>36886</v>
      </c>
      <c r="OW35" s="17">
        <v>36886</v>
      </c>
      <c r="OX35" s="17">
        <v>37518</v>
      </c>
      <c r="OY35" s="17">
        <v>37518</v>
      </c>
      <c r="OZ35" s="17">
        <v>37518</v>
      </c>
      <c r="PA35" s="17">
        <v>37518</v>
      </c>
      <c r="PB35" s="17">
        <v>37518</v>
      </c>
      <c r="PC35" s="17">
        <v>37518</v>
      </c>
      <c r="PD35" s="17">
        <v>37518</v>
      </c>
      <c r="PE35" s="17">
        <v>38150</v>
      </c>
      <c r="PF35" s="17">
        <v>38150</v>
      </c>
      <c r="PG35" s="17">
        <v>38150</v>
      </c>
      <c r="PH35" s="17">
        <v>38150</v>
      </c>
      <c r="PI35" s="17">
        <v>38150</v>
      </c>
      <c r="PJ35" s="17">
        <v>38150</v>
      </c>
      <c r="PK35" s="17">
        <v>38150</v>
      </c>
      <c r="PL35" s="17">
        <v>38150</v>
      </c>
    </row>
    <row r="36" spans="1:428" s="12" customFormat="1" outlineLevel="1">
      <c r="A36" s="20" t="s">
        <v>19</v>
      </c>
      <c r="B36" s="12" t="s">
        <v>20</v>
      </c>
      <c r="C36" s="12" t="str">
        <f t="shared" si="21"/>
        <v>LensPanthos SSage</v>
      </c>
      <c r="D36" s="12" t="s">
        <v>33</v>
      </c>
      <c r="E36" s="16" t="s">
        <v>14</v>
      </c>
      <c r="F36" s="13" t="s">
        <v>41</v>
      </c>
      <c r="G36" s="13" t="s">
        <v>32</v>
      </c>
      <c r="H36" s="14">
        <v>318003500692</v>
      </c>
      <c r="I36" s="13"/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0</v>
      </c>
      <c r="DX36" s="17">
        <v>0</v>
      </c>
      <c r="DY36" s="17">
        <v>0</v>
      </c>
      <c r="DZ36" s="17">
        <v>0</v>
      </c>
      <c r="EA36" s="17">
        <v>0</v>
      </c>
      <c r="EB36" s="17">
        <v>0</v>
      </c>
      <c r="EC36" s="17">
        <v>0</v>
      </c>
      <c r="ED36" s="17">
        <v>0</v>
      </c>
      <c r="EE36" s="17">
        <v>0</v>
      </c>
      <c r="EF36" s="17">
        <v>0</v>
      </c>
      <c r="EG36" s="17">
        <v>0</v>
      </c>
      <c r="EH36" s="17">
        <v>0</v>
      </c>
      <c r="EI36" s="17">
        <v>0</v>
      </c>
      <c r="EJ36" s="17">
        <v>0</v>
      </c>
      <c r="EK36" s="17">
        <v>0</v>
      </c>
      <c r="EL36" s="17">
        <v>0</v>
      </c>
      <c r="EM36" s="17">
        <v>0</v>
      </c>
      <c r="EN36" s="17">
        <v>0</v>
      </c>
      <c r="EO36" s="17">
        <v>0</v>
      </c>
      <c r="EP36" s="17">
        <v>0</v>
      </c>
      <c r="EQ36" s="17">
        <v>0</v>
      </c>
      <c r="ER36" s="17">
        <v>0</v>
      </c>
      <c r="ES36" s="17">
        <v>0</v>
      </c>
      <c r="ET36" s="17">
        <v>0</v>
      </c>
      <c r="EU36" s="17">
        <v>0</v>
      </c>
      <c r="EV36" s="17">
        <v>0</v>
      </c>
      <c r="EW36" s="17">
        <v>0</v>
      </c>
      <c r="EX36" s="17">
        <v>0</v>
      </c>
      <c r="EY36" s="17">
        <v>0</v>
      </c>
      <c r="EZ36" s="17">
        <v>0</v>
      </c>
      <c r="FA36" s="17">
        <v>0</v>
      </c>
      <c r="FB36" s="17">
        <v>0</v>
      </c>
      <c r="FC36" s="17">
        <v>0</v>
      </c>
      <c r="FD36" s="17">
        <v>0</v>
      </c>
      <c r="FE36" s="17">
        <v>0</v>
      </c>
      <c r="FF36" s="17">
        <v>0</v>
      </c>
      <c r="FG36" s="17">
        <v>0</v>
      </c>
      <c r="FH36" s="17">
        <v>0</v>
      </c>
      <c r="FI36" s="17">
        <v>0</v>
      </c>
      <c r="FJ36" s="17">
        <v>0</v>
      </c>
      <c r="FK36" s="17">
        <v>0</v>
      </c>
      <c r="FL36" s="17">
        <v>0</v>
      </c>
      <c r="FM36" s="17">
        <v>0</v>
      </c>
      <c r="FN36" s="17">
        <v>0</v>
      </c>
      <c r="FO36" s="17">
        <v>0</v>
      </c>
      <c r="FP36" s="17">
        <v>0</v>
      </c>
      <c r="FQ36" s="17">
        <v>0</v>
      </c>
      <c r="FR36" s="17">
        <v>0</v>
      </c>
      <c r="FS36" s="17">
        <v>0</v>
      </c>
      <c r="FT36" s="17">
        <v>0</v>
      </c>
      <c r="FU36" s="17">
        <v>0</v>
      </c>
      <c r="FV36" s="17">
        <v>0</v>
      </c>
      <c r="FW36" s="17">
        <v>565</v>
      </c>
      <c r="FX36" s="17">
        <v>565</v>
      </c>
      <c r="FY36" s="17">
        <v>565</v>
      </c>
      <c r="FZ36" s="17">
        <v>565</v>
      </c>
      <c r="GA36" s="17">
        <v>621</v>
      </c>
      <c r="GB36" s="17">
        <v>621</v>
      </c>
      <c r="GC36" s="17">
        <v>621</v>
      </c>
      <c r="GD36" s="17">
        <v>621</v>
      </c>
      <c r="GE36" s="17">
        <v>621</v>
      </c>
      <c r="GF36" s="17">
        <v>621</v>
      </c>
      <c r="GG36" s="17">
        <v>621</v>
      </c>
      <c r="GH36" s="17">
        <v>679</v>
      </c>
      <c r="GI36" s="17">
        <v>679</v>
      </c>
      <c r="GJ36" s="17">
        <v>679</v>
      </c>
      <c r="GK36" s="17">
        <v>679</v>
      </c>
      <c r="GL36" s="17">
        <v>679</v>
      </c>
      <c r="GM36" s="17">
        <v>679</v>
      </c>
      <c r="GN36" s="17">
        <v>679</v>
      </c>
      <c r="GO36" s="17">
        <v>730</v>
      </c>
      <c r="GP36" s="17">
        <v>730</v>
      </c>
      <c r="GQ36" s="17">
        <v>730</v>
      </c>
      <c r="GR36" s="17">
        <v>730</v>
      </c>
      <c r="GS36" s="17">
        <v>730</v>
      </c>
      <c r="GT36" s="17">
        <v>730</v>
      </c>
      <c r="GU36" s="17">
        <v>730</v>
      </c>
      <c r="GV36" s="17">
        <v>787</v>
      </c>
      <c r="GW36" s="17">
        <v>787</v>
      </c>
      <c r="GX36" s="17">
        <v>787</v>
      </c>
      <c r="GY36" s="17">
        <v>787</v>
      </c>
      <c r="GZ36" s="17">
        <v>787</v>
      </c>
      <c r="HA36" s="17">
        <v>787</v>
      </c>
      <c r="HB36" s="17">
        <v>787</v>
      </c>
      <c r="HC36" s="17">
        <v>912</v>
      </c>
      <c r="HD36" s="17">
        <v>912</v>
      </c>
      <c r="HE36" s="17">
        <v>912</v>
      </c>
      <c r="HF36" s="17">
        <v>912</v>
      </c>
      <c r="HG36" s="17">
        <v>912</v>
      </c>
      <c r="HH36" s="17">
        <v>912</v>
      </c>
      <c r="HI36" s="17">
        <v>912</v>
      </c>
      <c r="HJ36" s="17">
        <v>1025</v>
      </c>
      <c r="HK36" s="17">
        <v>1025</v>
      </c>
      <c r="HL36" s="17">
        <v>1025</v>
      </c>
      <c r="HM36" s="17">
        <v>1025</v>
      </c>
      <c r="HN36" s="17">
        <v>1025</v>
      </c>
      <c r="HO36" s="17">
        <v>1025</v>
      </c>
      <c r="HP36" s="17">
        <v>1025</v>
      </c>
      <c r="HQ36" s="17">
        <v>1101</v>
      </c>
      <c r="HR36" s="17">
        <v>1101</v>
      </c>
      <c r="HS36" s="17">
        <v>1101</v>
      </c>
      <c r="HT36" s="17">
        <v>1101</v>
      </c>
      <c r="HU36" s="17">
        <v>1101</v>
      </c>
      <c r="HV36" s="17">
        <v>1101</v>
      </c>
      <c r="HW36" s="17">
        <v>1101</v>
      </c>
      <c r="HX36" s="17">
        <v>1113</v>
      </c>
      <c r="HY36" s="17">
        <v>1113</v>
      </c>
      <c r="HZ36" s="17">
        <v>1113</v>
      </c>
      <c r="IA36" s="17">
        <v>1113</v>
      </c>
      <c r="IB36" s="17">
        <v>1113</v>
      </c>
      <c r="IC36" s="17">
        <v>1113</v>
      </c>
      <c r="ID36" s="17">
        <v>1113</v>
      </c>
      <c r="IE36" s="17">
        <v>1119</v>
      </c>
      <c r="IF36" s="17">
        <v>1119</v>
      </c>
      <c r="IG36" s="17">
        <v>1119</v>
      </c>
      <c r="IH36" s="17">
        <v>1119</v>
      </c>
      <c r="II36" s="17">
        <v>1119</v>
      </c>
      <c r="IJ36" s="17">
        <v>1119</v>
      </c>
      <c r="IK36" s="17">
        <v>1119</v>
      </c>
      <c r="IL36" s="17">
        <v>1125</v>
      </c>
      <c r="IM36" s="17">
        <v>1125</v>
      </c>
      <c r="IN36" s="17">
        <v>1125</v>
      </c>
      <c r="IO36" s="17">
        <v>1125</v>
      </c>
      <c r="IP36" s="17">
        <v>1125</v>
      </c>
      <c r="IQ36" s="17">
        <v>1125</v>
      </c>
      <c r="IR36" s="17">
        <v>1125</v>
      </c>
      <c r="IS36" s="17">
        <v>1133</v>
      </c>
      <c r="IT36" s="17">
        <v>1133</v>
      </c>
      <c r="IU36" s="17">
        <v>1133</v>
      </c>
      <c r="IV36" s="17">
        <v>1133</v>
      </c>
      <c r="IW36" s="17">
        <v>1133</v>
      </c>
      <c r="IX36" s="17">
        <v>1133</v>
      </c>
      <c r="IY36" s="17">
        <v>1133</v>
      </c>
      <c r="IZ36" s="17">
        <v>1142</v>
      </c>
      <c r="JA36" s="17">
        <v>1142</v>
      </c>
      <c r="JB36" s="17">
        <v>1142</v>
      </c>
      <c r="JC36" s="17">
        <v>1142</v>
      </c>
      <c r="JD36" s="17">
        <v>1142</v>
      </c>
      <c r="JE36" s="17">
        <v>1142</v>
      </c>
      <c r="JF36" s="17">
        <v>1142</v>
      </c>
      <c r="JG36" s="17">
        <v>1151</v>
      </c>
      <c r="JH36" s="17">
        <v>1151</v>
      </c>
      <c r="JI36" s="17">
        <v>1151</v>
      </c>
      <c r="JJ36" s="17">
        <v>1151</v>
      </c>
      <c r="JK36" s="17">
        <v>1151</v>
      </c>
      <c r="JL36" s="17">
        <v>1151</v>
      </c>
      <c r="JM36" s="17">
        <v>1151</v>
      </c>
      <c r="JN36" s="17">
        <v>1229</v>
      </c>
      <c r="JO36" s="17">
        <v>1229</v>
      </c>
      <c r="JP36" s="17">
        <v>1229</v>
      </c>
      <c r="JQ36" s="17">
        <v>1229</v>
      </c>
      <c r="JR36" s="17">
        <v>1229</v>
      </c>
      <c r="JS36" s="17">
        <v>1229</v>
      </c>
      <c r="JT36" s="17">
        <v>1229</v>
      </c>
      <c r="JU36" s="17">
        <v>1389</v>
      </c>
      <c r="JV36" s="17">
        <v>1389</v>
      </c>
      <c r="JW36" s="17">
        <v>1389</v>
      </c>
      <c r="JX36" s="17">
        <v>1389</v>
      </c>
      <c r="JY36" s="17">
        <v>1389</v>
      </c>
      <c r="JZ36" s="17">
        <v>1389</v>
      </c>
      <c r="KA36" s="17">
        <v>1389</v>
      </c>
      <c r="KB36" s="17">
        <v>1456</v>
      </c>
      <c r="KC36" s="17">
        <v>1456</v>
      </c>
      <c r="KD36" s="17">
        <v>1456</v>
      </c>
      <c r="KE36" s="17">
        <v>1456</v>
      </c>
      <c r="KF36" s="17">
        <v>1456</v>
      </c>
      <c r="KG36" s="17">
        <v>1456</v>
      </c>
      <c r="KH36" s="17">
        <v>1456</v>
      </c>
      <c r="KI36" s="17">
        <v>1484</v>
      </c>
      <c r="KJ36" s="17">
        <v>1484</v>
      </c>
      <c r="KK36" s="17">
        <v>1484</v>
      </c>
      <c r="KL36" s="17">
        <v>1484</v>
      </c>
      <c r="KM36" s="17">
        <v>1484</v>
      </c>
      <c r="KN36" s="17">
        <v>1484</v>
      </c>
      <c r="KO36" s="17">
        <v>1484</v>
      </c>
      <c r="KP36" s="17">
        <v>1552</v>
      </c>
      <c r="KQ36" s="17">
        <v>1552</v>
      </c>
      <c r="KR36" s="17">
        <v>1552</v>
      </c>
      <c r="KS36" s="17">
        <v>1552</v>
      </c>
      <c r="KT36" s="17">
        <v>1552</v>
      </c>
      <c r="KU36" s="17">
        <v>1552</v>
      </c>
      <c r="KV36" s="17">
        <v>1552</v>
      </c>
      <c r="KW36" s="17">
        <v>1616</v>
      </c>
      <c r="KX36" s="17">
        <v>1616</v>
      </c>
      <c r="KY36" s="17">
        <v>1616</v>
      </c>
      <c r="KZ36" s="17">
        <v>1616</v>
      </c>
      <c r="LA36" s="17">
        <v>1616</v>
      </c>
      <c r="LB36" s="17">
        <v>1616</v>
      </c>
      <c r="LC36" s="17">
        <v>1616</v>
      </c>
      <c r="LD36" s="17">
        <v>1640</v>
      </c>
      <c r="LE36" s="17">
        <v>1640</v>
      </c>
      <c r="LF36" s="17">
        <v>1640</v>
      </c>
      <c r="LG36" s="17">
        <v>1640</v>
      </c>
      <c r="LH36" s="17">
        <v>1640</v>
      </c>
      <c r="LI36" s="17">
        <v>1640</v>
      </c>
      <c r="LJ36" s="17">
        <v>1640</v>
      </c>
      <c r="LK36" s="17">
        <v>1671</v>
      </c>
      <c r="LL36" s="17">
        <v>1671</v>
      </c>
      <c r="LM36" s="17">
        <v>1671</v>
      </c>
      <c r="LN36" s="17">
        <v>1671</v>
      </c>
      <c r="LO36" s="17">
        <v>1671</v>
      </c>
      <c r="LP36" s="17">
        <v>1671</v>
      </c>
      <c r="LQ36" s="17">
        <v>1671</v>
      </c>
      <c r="LR36" s="17">
        <v>1719</v>
      </c>
      <c r="LS36" s="17">
        <v>1719</v>
      </c>
      <c r="LT36" s="17">
        <v>1719</v>
      </c>
      <c r="LU36" s="17">
        <v>1719</v>
      </c>
      <c r="LV36" s="17">
        <v>1719</v>
      </c>
      <c r="LW36" s="17">
        <v>1719</v>
      </c>
      <c r="LX36" s="17">
        <v>1719</v>
      </c>
      <c r="LY36" s="17">
        <v>1767</v>
      </c>
      <c r="LZ36" s="17">
        <v>1767</v>
      </c>
      <c r="MA36" s="17">
        <v>1767</v>
      </c>
      <c r="MB36" s="17">
        <v>1767</v>
      </c>
      <c r="MC36" s="17">
        <v>1767</v>
      </c>
      <c r="MD36" s="17">
        <v>1767</v>
      </c>
      <c r="ME36" s="17">
        <v>1767</v>
      </c>
      <c r="MF36" s="17">
        <v>1830</v>
      </c>
      <c r="MG36" s="17">
        <v>1830</v>
      </c>
      <c r="MH36" s="17">
        <v>1830</v>
      </c>
      <c r="MI36" s="17">
        <v>1830</v>
      </c>
      <c r="MJ36" s="17">
        <v>1830</v>
      </c>
      <c r="MK36" s="17">
        <v>1830</v>
      </c>
      <c r="ML36" s="17">
        <v>1830</v>
      </c>
      <c r="MM36" s="17">
        <v>1912</v>
      </c>
      <c r="MN36" s="17">
        <v>1912</v>
      </c>
      <c r="MO36" s="17">
        <v>1912</v>
      </c>
      <c r="MP36" s="17">
        <v>1912</v>
      </c>
      <c r="MQ36" s="17">
        <v>1912</v>
      </c>
      <c r="MR36" s="17">
        <v>1912</v>
      </c>
      <c r="MS36" s="17">
        <v>1912</v>
      </c>
      <c r="MT36" s="17">
        <v>1963</v>
      </c>
      <c r="MU36" s="17">
        <v>1963</v>
      </c>
      <c r="MV36" s="17">
        <v>1963</v>
      </c>
      <c r="MW36" s="17">
        <v>1963</v>
      </c>
      <c r="MX36" s="17">
        <v>1963</v>
      </c>
      <c r="MY36" s="17">
        <v>1963</v>
      </c>
      <c r="MZ36" s="17">
        <v>1963</v>
      </c>
      <c r="NA36" s="17">
        <v>2072</v>
      </c>
      <c r="NB36" s="17">
        <v>2072</v>
      </c>
      <c r="NC36" s="17">
        <v>2072</v>
      </c>
      <c r="ND36" s="17">
        <v>2072</v>
      </c>
      <c r="NE36" s="17">
        <v>2072</v>
      </c>
      <c r="NF36" s="17">
        <v>2072</v>
      </c>
      <c r="NG36" s="17">
        <v>2072</v>
      </c>
      <c r="NH36" s="17">
        <v>2213</v>
      </c>
      <c r="NI36" s="17">
        <v>2213</v>
      </c>
      <c r="NJ36" s="17">
        <v>2213</v>
      </c>
      <c r="NK36" s="17">
        <v>2213</v>
      </c>
      <c r="NL36" s="17">
        <v>2213</v>
      </c>
      <c r="NM36" s="17">
        <v>2213</v>
      </c>
      <c r="NN36" s="17">
        <v>2213</v>
      </c>
      <c r="NO36" s="17">
        <v>2298</v>
      </c>
      <c r="NP36" s="17">
        <v>2298</v>
      </c>
      <c r="NQ36" s="17">
        <v>2298</v>
      </c>
      <c r="NR36" s="17">
        <v>2298</v>
      </c>
      <c r="NS36" s="17">
        <v>2298</v>
      </c>
      <c r="NT36" s="17">
        <v>2298</v>
      </c>
      <c r="NU36" s="17">
        <v>2298</v>
      </c>
      <c r="NV36" s="17">
        <v>2375</v>
      </c>
      <c r="NW36" s="17">
        <v>2375</v>
      </c>
      <c r="NX36" s="17">
        <v>2375</v>
      </c>
      <c r="NY36" s="17">
        <v>2375</v>
      </c>
      <c r="NZ36" s="17">
        <v>2375</v>
      </c>
      <c r="OA36" s="17">
        <v>2375</v>
      </c>
      <c r="OB36" s="17">
        <v>2375</v>
      </c>
      <c r="OC36" s="17">
        <v>2418</v>
      </c>
      <c r="OD36" s="17">
        <v>2418</v>
      </c>
      <c r="OE36" s="17">
        <v>2418</v>
      </c>
      <c r="OF36" s="17">
        <v>2418</v>
      </c>
      <c r="OG36" s="17">
        <v>2418</v>
      </c>
      <c r="OH36" s="17">
        <v>2418</v>
      </c>
      <c r="OI36" s="17">
        <v>2418</v>
      </c>
      <c r="OJ36" s="17">
        <v>2461</v>
      </c>
      <c r="OK36" s="17">
        <v>2461</v>
      </c>
      <c r="OL36" s="17">
        <v>2461</v>
      </c>
      <c r="OM36" s="17">
        <v>2461</v>
      </c>
      <c r="ON36" s="17">
        <v>2461</v>
      </c>
      <c r="OO36" s="17">
        <v>2461</v>
      </c>
      <c r="OP36" s="17">
        <v>2461</v>
      </c>
      <c r="OQ36" s="17">
        <v>2504</v>
      </c>
      <c r="OR36" s="17">
        <v>2504</v>
      </c>
      <c r="OS36" s="17">
        <v>2504</v>
      </c>
      <c r="OT36" s="17">
        <v>2504</v>
      </c>
      <c r="OU36" s="17">
        <v>2504</v>
      </c>
      <c r="OV36" s="17">
        <v>2504</v>
      </c>
      <c r="OW36" s="17">
        <v>2504</v>
      </c>
      <c r="OX36" s="17">
        <v>2547</v>
      </c>
      <c r="OY36" s="17">
        <v>2547</v>
      </c>
      <c r="OZ36" s="17">
        <v>2547</v>
      </c>
      <c r="PA36" s="17">
        <v>2547</v>
      </c>
      <c r="PB36" s="17">
        <v>2547</v>
      </c>
      <c r="PC36" s="17">
        <v>2547</v>
      </c>
      <c r="PD36" s="17">
        <v>2547</v>
      </c>
      <c r="PE36" s="17">
        <v>2590</v>
      </c>
      <c r="PF36" s="17">
        <v>2590</v>
      </c>
      <c r="PG36" s="17">
        <v>2590</v>
      </c>
      <c r="PH36" s="17">
        <v>2590</v>
      </c>
      <c r="PI36" s="17">
        <v>2590</v>
      </c>
      <c r="PJ36" s="17">
        <v>2590</v>
      </c>
      <c r="PK36" s="17">
        <v>2590</v>
      </c>
      <c r="PL36" s="17">
        <v>2590</v>
      </c>
    </row>
    <row r="37" spans="1:428" s="12" customFormat="1" outlineLevel="1">
      <c r="A37" s="20" t="s">
        <v>19</v>
      </c>
      <c r="B37" s="12" t="s">
        <v>20</v>
      </c>
      <c r="C37" s="12" t="str">
        <f t="shared" si="21"/>
        <v>LensPanthos SSANDSTORM</v>
      </c>
      <c r="D37" s="12" t="s">
        <v>33</v>
      </c>
      <c r="E37" s="16" t="s">
        <v>14</v>
      </c>
      <c r="F37" s="13" t="s">
        <v>41</v>
      </c>
      <c r="G37" s="13" t="s">
        <v>9</v>
      </c>
      <c r="H37" s="14">
        <v>318003500482</v>
      </c>
      <c r="I37" s="13"/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0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0</v>
      </c>
      <c r="DX37" s="17">
        <v>0</v>
      </c>
      <c r="DY37" s="17">
        <v>0</v>
      </c>
      <c r="DZ37" s="17">
        <v>0</v>
      </c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0</v>
      </c>
      <c r="EG37" s="17">
        <v>0</v>
      </c>
      <c r="EH37" s="17">
        <v>0</v>
      </c>
      <c r="EI37" s="17">
        <v>0</v>
      </c>
      <c r="EJ37" s="17">
        <v>0</v>
      </c>
      <c r="EK37" s="17">
        <v>0</v>
      </c>
      <c r="EL37" s="17">
        <v>0</v>
      </c>
      <c r="EM37" s="17">
        <v>0</v>
      </c>
      <c r="EN37" s="17">
        <v>0</v>
      </c>
      <c r="EO37" s="17">
        <v>0</v>
      </c>
      <c r="EP37" s="17">
        <v>0</v>
      </c>
      <c r="EQ37" s="17">
        <v>0</v>
      </c>
      <c r="ER37" s="17">
        <v>0</v>
      </c>
      <c r="ES37" s="17">
        <v>0</v>
      </c>
      <c r="ET37" s="17">
        <v>0</v>
      </c>
      <c r="EU37" s="17">
        <v>0</v>
      </c>
      <c r="EV37" s="17">
        <v>0</v>
      </c>
      <c r="EW37" s="17">
        <v>0</v>
      </c>
      <c r="EX37" s="17">
        <v>0</v>
      </c>
      <c r="EY37" s="17">
        <v>0</v>
      </c>
      <c r="EZ37" s="17">
        <v>0</v>
      </c>
      <c r="FA37" s="17">
        <v>0</v>
      </c>
      <c r="FB37" s="17">
        <v>0</v>
      </c>
      <c r="FC37" s="17">
        <v>0</v>
      </c>
      <c r="FD37" s="17">
        <v>0</v>
      </c>
      <c r="FE37" s="17">
        <v>0</v>
      </c>
      <c r="FF37" s="17">
        <v>0</v>
      </c>
      <c r="FG37" s="17">
        <v>0</v>
      </c>
      <c r="FH37" s="17">
        <v>0</v>
      </c>
      <c r="FI37" s="17">
        <v>0</v>
      </c>
      <c r="FJ37" s="17">
        <v>0</v>
      </c>
      <c r="FK37" s="17">
        <v>0</v>
      </c>
      <c r="FL37" s="17">
        <v>0</v>
      </c>
      <c r="FM37" s="17">
        <v>0</v>
      </c>
      <c r="FN37" s="17">
        <v>0</v>
      </c>
      <c r="FO37" s="17">
        <v>0</v>
      </c>
      <c r="FP37" s="17">
        <v>0</v>
      </c>
      <c r="FQ37" s="17">
        <v>0</v>
      </c>
      <c r="FR37" s="17">
        <v>0</v>
      </c>
      <c r="FS37" s="17">
        <v>0</v>
      </c>
      <c r="FT37" s="17">
        <v>0</v>
      </c>
      <c r="FU37" s="17">
        <v>0</v>
      </c>
      <c r="FV37" s="17">
        <v>0</v>
      </c>
      <c r="FW37" s="17">
        <v>0</v>
      </c>
      <c r="FX37" s="17">
        <v>0</v>
      </c>
      <c r="FY37" s="17">
        <v>0</v>
      </c>
      <c r="FZ37" s="17">
        <v>0</v>
      </c>
      <c r="GA37" s="17">
        <v>0</v>
      </c>
      <c r="GB37" s="17">
        <v>0</v>
      </c>
      <c r="GC37" s="17">
        <v>4402</v>
      </c>
      <c r="GD37" s="17">
        <v>4402</v>
      </c>
      <c r="GE37" s="17">
        <v>4402</v>
      </c>
      <c r="GF37" s="17">
        <v>4402</v>
      </c>
      <c r="GG37" s="17">
        <v>4402</v>
      </c>
      <c r="GH37" s="17">
        <v>4972</v>
      </c>
      <c r="GI37" s="17">
        <v>4972</v>
      </c>
      <c r="GJ37" s="17">
        <v>4972</v>
      </c>
      <c r="GK37" s="17">
        <v>4972</v>
      </c>
      <c r="GL37" s="17">
        <v>4972</v>
      </c>
      <c r="GM37" s="17">
        <v>4972</v>
      </c>
      <c r="GN37" s="17">
        <v>4972</v>
      </c>
      <c r="GO37" s="17">
        <v>5360</v>
      </c>
      <c r="GP37" s="17">
        <v>5360</v>
      </c>
      <c r="GQ37" s="17">
        <v>5360</v>
      </c>
      <c r="GR37" s="17">
        <v>5360</v>
      </c>
      <c r="GS37" s="17">
        <v>5360</v>
      </c>
      <c r="GT37" s="17">
        <v>5360</v>
      </c>
      <c r="GU37" s="17">
        <v>5360</v>
      </c>
      <c r="GV37" s="17">
        <v>5754</v>
      </c>
      <c r="GW37" s="17">
        <v>5754</v>
      </c>
      <c r="GX37" s="17">
        <v>5754</v>
      </c>
      <c r="GY37" s="17">
        <v>5754</v>
      </c>
      <c r="GZ37" s="17">
        <v>5754</v>
      </c>
      <c r="HA37" s="17">
        <v>5754</v>
      </c>
      <c r="HB37" s="17">
        <v>5754</v>
      </c>
      <c r="HC37" s="17">
        <v>6154</v>
      </c>
      <c r="HD37" s="17">
        <v>6154</v>
      </c>
      <c r="HE37" s="17">
        <v>6154</v>
      </c>
      <c r="HF37" s="17">
        <v>6154</v>
      </c>
      <c r="HG37" s="17">
        <v>6154</v>
      </c>
      <c r="HH37" s="17">
        <v>6154</v>
      </c>
      <c r="HI37" s="17">
        <v>6154</v>
      </c>
      <c r="HJ37" s="17">
        <v>6530</v>
      </c>
      <c r="HK37" s="17">
        <v>6530</v>
      </c>
      <c r="HL37" s="17">
        <v>6530</v>
      </c>
      <c r="HM37" s="17">
        <v>6530</v>
      </c>
      <c r="HN37" s="17">
        <v>6530</v>
      </c>
      <c r="HO37" s="17">
        <v>6530</v>
      </c>
      <c r="HP37" s="17">
        <v>6530</v>
      </c>
      <c r="HQ37" s="17">
        <v>6851</v>
      </c>
      <c r="HR37" s="17">
        <v>6851</v>
      </c>
      <c r="HS37" s="17">
        <v>6851</v>
      </c>
      <c r="HT37" s="17">
        <v>6851</v>
      </c>
      <c r="HU37" s="17">
        <v>6851</v>
      </c>
      <c r="HV37" s="17">
        <v>6851</v>
      </c>
      <c r="HW37" s="17">
        <v>6851</v>
      </c>
      <c r="HX37" s="17">
        <v>6921</v>
      </c>
      <c r="HY37" s="17">
        <v>6921</v>
      </c>
      <c r="HZ37" s="17">
        <v>6921</v>
      </c>
      <c r="IA37" s="17">
        <v>6921</v>
      </c>
      <c r="IB37" s="17">
        <v>6921</v>
      </c>
      <c r="IC37" s="17">
        <v>6921</v>
      </c>
      <c r="ID37" s="17">
        <v>6921</v>
      </c>
      <c r="IE37" s="17">
        <v>6985</v>
      </c>
      <c r="IF37" s="17">
        <v>6985</v>
      </c>
      <c r="IG37" s="17">
        <v>6985</v>
      </c>
      <c r="IH37" s="17">
        <v>6985</v>
      </c>
      <c r="II37" s="17">
        <v>6985</v>
      </c>
      <c r="IJ37" s="17">
        <v>6985</v>
      </c>
      <c r="IK37" s="17">
        <v>6985</v>
      </c>
      <c r="IL37" s="17">
        <v>7049</v>
      </c>
      <c r="IM37" s="17">
        <v>7049</v>
      </c>
      <c r="IN37" s="17">
        <v>7049</v>
      </c>
      <c r="IO37" s="17">
        <v>7049</v>
      </c>
      <c r="IP37" s="17">
        <v>7049</v>
      </c>
      <c r="IQ37" s="17">
        <v>7049</v>
      </c>
      <c r="IR37" s="17">
        <v>7049</v>
      </c>
      <c r="IS37" s="17">
        <v>7112</v>
      </c>
      <c r="IT37" s="17">
        <v>7112</v>
      </c>
      <c r="IU37" s="17">
        <v>7112</v>
      </c>
      <c r="IV37" s="17">
        <v>7112</v>
      </c>
      <c r="IW37" s="17">
        <v>7112</v>
      </c>
      <c r="IX37" s="17">
        <v>7112</v>
      </c>
      <c r="IY37" s="17">
        <v>7112</v>
      </c>
      <c r="IZ37" s="17">
        <v>7173</v>
      </c>
      <c r="JA37" s="17">
        <v>7173</v>
      </c>
      <c r="JB37" s="17">
        <v>7173</v>
      </c>
      <c r="JC37" s="17">
        <v>7173</v>
      </c>
      <c r="JD37" s="17">
        <v>7173</v>
      </c>
      <c r="JE37" s="17">
        <v>7173</v>
      </c>
      <c r="JF37" s="17">
        <v>7173</v>
      </c>
      <c r="JG37" s="17">
        <v>7234</v>
      </c>
      <c r="JH37" s="17">
        <v>7234</v>
      </c>
      <c r="JI37" s="17">
        <v>7234</v>
      </c>
      <c r="JJ37" s="17">
        <v>7234</v>
      </c>
      <c r="JK37" s="17">
        <v>7234</v>
      </c>
      <c r="JL37" s="17">
        <v>7234</v>
      </c>
      <c r="JM37" s="17">
        <v>7234</v>
      </c>
      <c r="JN37" s="17">
        <v>7339</v>
      </c>
      <c r="JO37" s="17">
        <v>7339</v>
      </c>
      <c r="JP37" s="17">
        <v>7339</v>
      </c>
      <c r="JQ37" s="17">
        <v>7339</v>
      </c>
      <c r="JR37" s="17">
        <v>7339</v>
      </c>
      <c r="JS37" s="17">
        <v>7339</v>
      </c>
      <c r="JT37" s="17">
        <v>7339</v>
      </c>
      <c r="JU37" s="17">
        <v>7559</v>
      </c>
      <c r="JV37" s="17">
        <v>7559</v>
      </c>
      <c r="JW37" s="17">
        <v>7559</v>
      </c>
      <c r="JX37" s="17">
        <v>7559</v>
      </c>
      <c r="JY37" s="17">
        <v>7559</v>
      </c>
      <c r="JZ37" s="17">
        <v>7559</v>
      </c>
      <c r="KA37" s="17">
        <v>7559</v>
      </c>
      <c r="KB37" s="17">
        <v>7768</v>
      </c>
      <c r="KC37" s="17">
        <v>7768</v>
      </c>
      <c r="KD37" s="17">
        <v>7768</v>
      </c>
      <c r="KE37" s="17">
        <v>7768</v>
      </c>
      <c r="KF37" s="17">
        <v>7768</v>
      </c>
      <c r="KG37" s="17">
        <v>7768</v>
      </c>
      <c r="KH37" s="17">
        <v>7768</v>
      </c>
      <c r="KI37" s="17">
        <v>7932</v>
      </c>
      <c r="KJ37" s="17">
        <v>7932</v>
      </c>
      <c r="KK37" s="17">
        <v>7932</v>
      </c>
      <c r="KL37" s="17">
        <v>7932</v>
      </c>
      <c r="KM37" s="17">
        <v>7932</v>
      </c>
      <c r="KN37" s="17">
        <v>7932</v>
      </c>
      <c r="KO37" s="17">
        <v>7932</v>
      </c>
      <c r="KP37" s="17">
        <v>8127</v>
      </c>
      <c r="KQ37" s="17">
        <v>8127</v>
      </c>
      <c r="KR37" s="17">
        <v>8127</v>
      </c>
      <c r="KS37" s="17">
        <v>8127</v>
      </c>
      <c r="KT37" s="17">
        <v>8127</v>
      </c>
      <c r="KU37" s="17">
        <v>8127</v>
      </c>
      <c r="KV37" s="17">
        <v>8127</v>
      </c>
      <c r="KW37" s="17">
        <v>8318</v>
      </c>
      <c r="KX37" s="17">
        <v>8318</v>
      </c>
      <c r="KY37" s="17">
        <v>8318</v>
      </c>
      <c r="KZ37" s="17">
        <v>8318</v>
      </c>
      <c r="LA37" s="17">
        <v>8318</v>
      </c>
      <c r="LB37" s="17">
        <v>8318</v>
      </c>
      <c r="LC37" s="17">
        <v>8318</v>
      </c>
      <c r="LD37" s="17">
        <v>8445</v>
      </c>
      <c r="LE37" s="17">
        <v>8445</v>
      </c>
      <c r="LF37" s="17">
        <v>8445</v>
      </c>
      <c r="LG37" s="17">
        <v>8445</v>
      </c>
      <c r="LH37" s="17">
        <v>8445</v>
      </c>
      <c r="LI37" s="17">
        <v>8445</v>
      </c>
      <c r="LJ37" s="17">
        <v>8445</v>
      </c>
      <c r="LK37" s="17">
        <v>8581</v>
      </c>
      <c r="LL37" s="17">
        <v>8581</v>
      </c>
      <c r="LM37" s="17">
        <v>8581</v>
      </c>
      <c r="LN37" s="17">
        <v>8581</v>
      </c>
      <c r="LO37" s="17">
        <v>8581</v>
      </c>
      <c r="LP37" s="17">
        <v>8581</v>
      </c>
      <c r="LQ37" s="17">
        <v>8581</v>
      </c>
      <c r="LR37" s="17">
        <v>8724</v>
      </c>
      <c r="LS37" s="17">
        <v>8724</v>
      </c>
      <c r="LT37" s="17">
        <v>8724</v>
      </c>
      <c r="LU37" s="17">
        <v>8724</v>
      </c>
      <c r="LV37" s="17">
        <v>8724</v>
      </c>
      <c r="LW37" s="17">
        <v>8724</v>
      </c>
      <c r="LX37" s="17">
        <v>8724</v>
      </c>
      <c r="LY37" s="17">
        <v>8862</v>
      </c>
      <c r="LZ37" s="17">
        <v>8862</v>
      </c>
      <c r="MA37" s="17">
        <v>8862</v>
      </c>
      <c r="MB37" s="17">
        <v>8862</v>
      </c>
      <c r="MC37" s="17">
        <v>8862</v>
      </c>
      <c r="MD37" s="17">
        <v>8862</v>
      </c>
      <c r="ME37" s="17">
        <v>8862</v>
      </c>
      <c r="MF37" s="17">
        <v>9038</v>
      </c>
      <c r="MG37" s="17">
        <v>9038</v>
      </c>
      <c r="MH37" s="17">
        <v>9038</v>
      </c>
      <c r="MI37" s="17">
        <v>9038</v>
      </c>
      <c r="MJ37" s="17">
        <v>9038</v>
      </c>
      <c r="MK37" s="17">
        <v>9038</v>
      </c>
      <c r="ML37" s="17">
        <v>9038</v>
      </c>
      <c r="MM37" s="17">
        <v>9322</v>
      </c>
      <c r="MN37" s="17">
        <v>9322</v>
      </c>
      <c r="MO37" s="17">
        <v>9322</v>
      </c>
      <c r="MP37" s="17">
        <v>9322</v>
      </c>
      <c r="MQ37" s="17">
        <v>9322</v>
      </c>
      <c r="MR37" s="17">
        <v>9322</v>
      </c>
      <c r="MS37" s="17">
        <v>9322</v>
      </c>
      <c r="MT37" s="17">
        <v>9559</v>
      </c>
      <c r="MU37" s="17">
        <v>9559</v>
      </c>
      <c r="MV37" s="17">
        <v>9559</v>
      </c>
      <c r="MW37" s="17">
        <v>9559</v>
      </c>
      <c r="MX37" s="17">
        <v>9559</v>
      </c>
      <c r="MY37" s="17">
        <v>9559</v>
      </c>
      <c r="MZ37" s="17">
        <v>9559</v>
      </c>
      <c r="NA37" s="17">
        <v>9946</v>
      </c>
      <c r="NB37" s="17">
        <v>9946</v>
      </c>
      <c r="NC37" s="17">
        <v>9946</v>
      </c>
      <c r="ND37" s="17">
        <v>9946</v>
      </c>
      <c r="NE37" s="17">
        <v>9946</v>
      </c>
      <c r="NF37" s="17">
        <v>9946</v>
      </c>
      <c r="NG37" s="17">
        <v>9946</v>
      </c>
      <c r="NH37" s="17">
        <v>10396</v>
      </c>
      <c r="NI37" s="17">
        <v>10396</v>
      </c>
      <c r="NJ37" s="17">
        <v>10396</v>
      </c>
      <c r="NK37" s="17">
        <v>10396</v>
      </c>
      <c r="NL37" s="17">
        <v>10396</v>
      </c>
      <c r="NM37" s="17">
        <v>10396</v>
      </c>
      <c r="NN37" s="17">
        <v>10396</v>
      </c>
      <c r="NO37" s="17">
        <v>10771</v>
      </c>
      <c r="NP37" s="17">
        <v>10771</v>
      </c>
      <c r="NQ37" s="17">
        <v>10771</v>
      </c>
      <c r="NR37" s="17">
        <v>10771</v>
      </c>
      <c r="NS37" s="17">
        <v>10771</v>
      </c>
      <c r="NT37" s="17">
        <v>10771</v>
      </c>
      <c r="NU37" s="17">
        <v>10771</v>
      </c>
      <c r="NV37" s="17">
        <v>11133</v>
      </c>
      <c r="NW37" s="17">
        <v>11133</v>
      </c>
      <c r="NX37" s="17">
        <v>11133</v>
      </c>
      <c r="NY37" s="17">
        <v>11133</v>
      </c>
      <c r="NZ37" s="17">
        <v>11133</v>
      </c>
      <c r="OA37" s="17">
        <v>11133</v>
      </c>
      <c r="OB37" s="17">
        <v>11133</v>
      </c>
      <c r="OC37" s="17">
        <v>11334</v>
      </c>
      <c r="OD37" s="17">
        <v>11334</v>
      </c>
      <c r="OE37" s="17">
        <v>11334</v>
      </c>
      <c r="OF37" s="17">
        <v>11334</v>
      </c>
      <c r="OG37" s="17">
        <v>11334</v>
      </c>
      <c r="OH37" s="17">
        <v>11334</v>
      </c>
      <c r="OI37" s="17">
        <v>11334</v>
      </c>
      <c r="OJ37" s="17">
        <v>11535</v>
      </c>
      <c r="OK37" s="17">
        <v>11535</v>
      </c>
      <c r="OL37" s="17">
        <v>11535</v>
      </c>
      <c r="OM37" s="17">
        <v>11535</v>
      </c>
      <c r="ON37" s="17">
        <v>11535</v>
      </c>
      <c r="OO37" s="17">
        <v>11535</v>
      </c>
      <c r="OP37" s="17">
        <v>11535</v>
      </c>
      <c r="OQ37" s="17">
        <v>11736</v>
      </c>
      <c r="OR37" s="17">
        <v>11736</v>
      </c>
      <c r="OS37" s="17">
        <v>11736</v>
      </c>
      <c r="OT37" s="17">
        <v>11736</v>
      </c>
      <c r="OU37" s="17">
        <v>11736</v>
      </c>
      <c r="OV37" s="17">
        <v>11736</v>
      </c>
      <c r="OW37" s="17">
        <v>11736</v>
      </c>
      <c r="OX37" s="17">
        <v>11937</v>
      </c>
      <c r="OY37" s="17">
        <v>11937</v>
      </c>
      <c r="OZ37" s="17">
        <v>11937</v>
      </c>
      <c r="PA37" s="17">
        <v>11937</v>
      </c>
      <c r="PB37" s="17">
        <v>11937</v>
      </c>
      <c r="PC37" s="17">
        <v>11937</v>
      </c>
      <c r="PD37" s="17">
        <v>11937</v>
      </c>
      <c r="PE37" s="17">
        <v>12138</v>
      </c>
      <c r="PF37" s="17">
        <v>12138</v>
      </c>
      <c r="PG37" s="17">
        <v>12138</v>
      </c>
      <c r="PH37" s="17">
        <v>12138</v>
      </c>
      <c r="PI37" s="17">
        <v>12138</v>
      </c>
      <c r="PJ37" s="17">
        <v>12138</v>
      </c>
      <c r="PK37" s="17">
        <v>12138</v>
      </c>
      <c r="PL37" s="17">
        <v>12138</v>
      </c>
    </row>
  </sheetData>
  <autoFilter ref="A3:PL37" xr:uid="{84A77097-A1D1-4E8E-A7E7-0DB2B9245094}"/>
  <phoneticPr fontId="7" type="noConversion"/>
  <conditionalFormatting sqref="J4:PL4">
    <cfRule type="expression" dxfId="4" priority="7">
      <formula>J4&lt;I4</formula>
    </cfRule>
  </conditionalFormatting>
  <conditionalFormatting sqref="J4:PL37">
    <cfRule type="cellIs" dxfId="3" priority="6" operator="lessThan">
      <formula>0</formula>
    </cfRule>
  </conditionalFormatting>
  <conditionalFormatting sqref="L5:PL18 GI12:GU32 GI16:GV29 FH5:FR37">
    <cfRule type="expression" dxfId="2" priority="5">
      <formula>L5&lt;K5</formula>
    </cfRule>
  </conditionalFormatting>
  <conditionalFormatting sqref="L19:PL37">
    <cfRule type="expression" dxfId="1" priority="1">
      <formula>L19&lt;K19</formula>
    </cfRule>
  </conditionalFormatting>
  <conditionalFormatting sqref="J5:PL37">
    <cfRule type="expression" dxfId="0" priority="8">
      <formula>ISNUMBER(SEARCH("Temple",#REF!))</formula>
    </cfRule>
  </conditionalFormatting>
  <pageMargins left="0.25" right="0.25" top="0.75" bottom="0.75" header="0.3" footer="0.3"/>
  <pageSetup paperSize="9" orientation="landscape" r:id="rId1"/>
  <headerFooter>
    <oddHeader>&amp;L&amp;G&amp;R文档密级：Confidential</oddHeader>
    <oddFooter>&amp;C歌尔保密资料，未经授权禁止扩散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Modelo GB CTB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Qi</dc:creator>
  <cp:lastModifiedBy>Zhiying Chen</cp:lastModifiedBy>
  <cp:lastPrinted>2026-04-22T17:19:27Z</cp:lastPrinted>
  <dcterms:created xsi:type="dcterms:W3CDTF">2026-03-11T17:08:07Z</dcterms:created>
  <dcterms:modified xsi:type="dcterms:W3CDTF">2026-07-14T07:54:35Z</dcterms:modified>
</cp:coreProperties>
</file>